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d84b6468bc0858/Documents/USF Coursework/ISM 4547 Excel Data Modeling and Business Analytics/Module 3 Assignment/"/>
    </mc:Choice>
  </mc:AlternateContent>
  <xr:revisionPtr revIDLastSave="0" documentId="13_ncr:1_{5D57A88A-74C3-441F-83E5-6E3FFF831DE1}" xr6:coauthVersionLast="47" xr6:coauthVersionMax="47" xr10:uidLastSave="{00000000-0000-0000-0000-000000000000}"/>
  <bookViews>
    <workbookView xWindow="1185" yWindow="120" windowWidth="22980" windowHeight="16080" xr2:uid="{AD7339DC-DE04-4218-85C8-126914803B0A}"/>
  </bookViews>
  <sheets>
    <sheet name="Student Scholarships" sheetId="1" r:id="rId1"/>
    <sheet name="Student Copy" sheetId="2" r:id="rId2"/>
    <sheet name="Scholarship Request Form" sheetId="3" r:id="rId3"/>
    <sheet name="Form Background" sheetId="4" r:id="rId4"/>
    <sheet name="Scholarship Request List" sheetId="5" r:id="rId5"/>
    <sheet name="Student List Table" sheetId="6" r:id="rId6"/>
    <sheet name="Student List Original" sheetId="7" r:id="rId7"/>
  </sheets>
  <definedNames>
    <definedName name="NAmes" localSheetId="1">'Student Copy'!#REF!</definedName>
    <definedName name="NAmes">'Student Scholarships'!#REF!</definedName>
    <definedName name="Scholarships">'Student Scholarships'!$A$3:$I$26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4" l="1"/>
  <c r="D18" i="4"/>
  <c r="C18" i="4"/>
  <c r="B18" i="4"/>
  <c r="A18" i="4"/>
  <c r="G18" i="4"/>
  <c r="E18" i="4"/>
  <c r="G44" i="1"/>
  <c r="H25" i="2" a="1"/>
  <c r="H20" i="2" a="1"/>
  <c r="H24" i="2" a="1"/>
  <c r="H23" i="2" a="1"/>
  <c r="H30" i="2" a="1"/>
  <c r="H13" i="2" a="1"/>
  <c r="H12" i="2" a="1"/>
  <c r="H16" i="2" a="1"/>
  <c r="H19" i="2" a="1"/>
  <c r="H26" i="2" a="1"/>
  <c r="H5" i="2" a="1"/>
  <c r="H4" i="2" a="1"/>
  <c r="H8" i="2" a="1"/>
  <c r="H15" i="2" a="1"/>
  <c r="H22" i="2" a="1"/>
  <c r="H7" i="2" a="1"/>
  <c r="H11" i="2" a="1"/>
  <c r="H37" i="2" a="1"/>
  <c r="H40" i="2" a="1"/>
  <c r="H39" i="2" a="1"/>
  <c r="H34" i="2" a="1"/>
  <c r="H10" i="2" a="1"/>
  <c r="H29" i="2" a="1"/>
  <c r="H36" i="2" a="1"/>
  <c r="H35" i="2" a="1"/>
  <c r="H14" i="2" a="1"/>
  <c r="H6" i="2" a="1"/>
  <c r="H33" i="2" a="1"/>
  <c r="H21" i="2" a="1"/>
  <c r="H32" i="2" a="1"/>
  <c r="H31" i="2" a="1"/>
  <c r="H2" i="2" a="1"/>
  <c r="H17" i="2" a="1"/>
  <c r="H9" i="2" a="1"/>
  <c r="H28" i="2" a="1"/>
  <c r="H27" i="2" a="1"/>
  <c r="H38" i="2" a="1"/>
  <c r="H41" i="2" a="1"/>
  <c r="H3" i="2" a="1"/>
  <c r="H18" i="2" a="1"/>
  <c r="H6" i="2" l="1"/>
  <c r="H10" i="2"/>
  <c r="H18" i="2"/>
  <c r="H22" i="2"/>
  <c r="H26" i="2"/>
  <c r="H30" i="2"/>
  <c r="H38" i="2"/>
  <c r="H2" i="2"/>
  <c r="H14" i="2"/>
  <c r="H34" i="2"/>
  <c r="H11" i="2"/>
  <c r="H15" i="2"/>
  <c r="H19" i="2"/>
  <c r="H23" i="2"/>
  <c r="H27" i="2"/>
  <c r="H31" i="2"/>
  <c r="H35" i="2"/>
  <c r="H39" i="2"/>
  <c r="H3" i="2"/>
  <c r="H8" i="2"/>
  <c r="H16" i="2"/>
  <c r="H24" i="2"/>
  <c r="H28" i="2"/>
  <c r="H32" i="2"/>
  <c r="H36" i="2"/>
  <c r="H40" i="2"/>
  <c r="H7" i="2"/>
  <c r="H4" i="2"/>
  <c r="H12" i="2"/>
  <c r="H20" i="2"/>
  <c r="H9" i="2"/>
  <c r="H21" i="2"/>
  <c r="H29" i="2"/>
  <c r="H37" i="2"/>
  <c r="H41" i="2"/>
  <c r="H5" i="2"/>
  <c r="H13" i="2"/>
  <c r="H25" i="2"/>
  <c r="H17" i="2"/>
  <c r="H33" i="2"/>
  <c r="A2" i="1"/>
  <c r="I22" i="2" a="1"/>
  <c r="I36" i="2" a="1"/>
  <c r="I33" i="2" a="1"/>
  <c r="I12" i="2" a="1"/>
  <c r="I31" i="2" a="1"/>
  <c r="H28" i="1" a="1"/>
  <c r="H37" i="1" a="1"/>
  <c r="H17" i="1" a="1"/>
  <c r="H33" i="1" a="1"/>
  <c r="H23" i="1" a="1"/>
  <c r="H39" i="1" a="1"/>
  <c r="I26" i="2" a="1"/>
  <c r="I40" i="2" a="1"/>
  <c r="H42" i="1" a="1"/>
  <c r="H34" i="1" a="1"/>
  <c r="I39" i="2" a="1"/>
  <c r="I30" i="2" a="1"/>
  <c r="I20" i="2" a="1"/>
  <c r="H7" i="1" a="1"/>
  <c r="H12" i="1" a="1"/>
  <c r="I37" i="2" a="1"/>
  <c r="I24" i="2" a="1"/>
  <c r="I7" i="2" a="1"/>
  <c r="H40" i="1" a="1"/>
  <c r="H21" i="1" a="1"/>
  <c r="I18" i="2" a="1"/>
  <c r="I25" i="2" a="1"/>
  <c r="I21" i="2" a="1"/>
  <c r="H35" i="1" a="1"/>
  <c r="H38" i="1" a="1"/>
  <c r="I32" i="2" a="1"/>
  <c r="I4" i="2" a="1"/>
  <c r="H22" i="1" a="1"/>
  <c r="H26" i="1" a="1"/>
  <c r="I6" i="2" a="1"/>
  <c r="I8" i="2" a="1"/>
  <c r="I10" i="2" a="1"/>
  <c r="I14" i="2" a="1"/>
  <c r="I9" i="2" a="1"/>
  <c r="H9" i="1" a="1"/>
  <c r="H11" i="1" a="1"/>
  <c r="H13" i="1" a="1"/>
  <c r="H4" i="1" a="1"/>
  <c r="H15" i="1" a="1"/>
  <c r="I5" i="2" a="1"/>
  <c r="I16" i="2" a="1"/>
  <c r="I34" i="2" a="1"/>
  <c r="I3" i="2" a="1"/>
  <c r="H5" i="1" a="1"/>
  <c r="H16" i="1" a="1"/>
  <c r="H20" i="1" a="1"/>
  <c r="H31" i="1" a="1"/>
  <c r="I29" i="2" a="1"/>
  <c r="I13" i="2" a="1"/>
  <c r="I23" i="2" a="1"/>
  <c r="H10" i="1" a="1"/>
  <c r="H43" i="1" a="1"/>
  <c r="H36" i="1" a="1"/>
  <c r="I28" i="2" a="1"/>
  <c r="I11" i="2" a="1"/>
  <c r="H27" i="1" a="1"/>
  <c r="H8" i="1" a="1"/>
  <c r="H41" i="1" a="1"/>
  <c r="I17" i="2" a="1"/>
  <c r="I27" i="2" a="1"/>
  <c r="H24" i="1" a="1"/>
  <c r="H25" i="1" a="1"/>
  <c r="H29" i="1" a="1"/>
  <c r="I2" i="2" a="1"/>
  <c r="I15" i="2" a="1"/>
  <c r="H14" i="1" a="1"/>
  <c r="H19" i="1" a="1"/>
  <c r="H6" i="1" a="1"/>
  <c r="I38" i="2" a="1"/>
  <c r="H30" i="1" a="1"/>
  <c r="H18" i="1" a="1"/>
  <c r="I35" i="2" a="1"/>
  <c r="I41" i="2" a="1"/>
  <c r="I19" i="2" a="1"/>
  <c r="H32" i="1" a="1"/>
  <c r="I31" i="2" l="1"/>
  <c r="I19" i="2"/>
  <c r="I21" i="2"/>
  <c r="I27" i="2"/>
  <c r="I20" i="2"/>
  <c r="I23" i="2"/>
  <c r="I3" i="2"/>
  <c r="I9" i="2"/>
  <c r="I12" i="2"/>
  <c r="I4" i="2"/>
  <c r="I15" i="2"/>
  <c r="I7" i="2"/>
  <c r="I11" i="2"/>
  <c r="I40" i="2"/>
  <c r="I34" i="2"/>
  <c r="I14" i="2"/>
  <c r="I33" i="2"/>
  <c r="I38" i="2"/>
  <c r="I25" i="2"/>
  <c r="I24" i="2"/>
  <c r="I30" i="2"/>
  <c r="I13" i="2"/>
  <c r="I16" i="2"/>
  <c r="I10" i="2"/>
  <c r="I36" i="2"/>
  <c r="I32" i="2"/>
  <c r="I2" i="2"/>
  <c r="I17" i="2"/>
  <c r="I28" i="2"/>
  <c r="I26" i="2"/>
  <c r="I5" i="2"/>
  <c r="I8" i="2"/>
  <c r="I22" i="2"/>
  <c r="I41" i="2"/>
  <c r="I18" i="2"/>
  <c r="I37" i="2"/>
  <c r="I39" i="2"/>
  <c r="I29" i="2"/>
  <c r="I35" i="2"/>
  <c r="I6" i="2"/>
  <c r="H26" i="1"/>
  <c r="H38" i="1"/>
  <c r="H29" i="1"/>
  <c r="H41" i="1"/>
  <c r="H36" i="1"/>
  <c r="H39" i="1"/>
  <c r="H15" i="1"/>
  <c r="H33" i="1"/>
  <c r="H18" i="1"/>
  <c r="H6" i="1"/>
  <c r="H21" i="1"/>
  <c r="H12" i="1"/>
  <c r="H34" i="1"/>
  <c r="H31" i="1"/>
  <c r="H4" i="1"/>
  <c r="H17" i="1"/>
  <c r="H22" i="1"/>
  <c r="H19" i="1"/>
  <c r="H25" i="1"/>
  <c r="H8" i="1"/>
  <c r="H43" i="1"/>
  <c r="H20" i="1"/>
  <c r="H13" i="1"/>
  <c r="H37" i="1"/>
  <c r="H32" i="1"/>
  <c r="H35" i="1"/>
  <c r="H24" i="1"/>
  <c r="H7" i="1"/>
  <c r="H42" i="1"/>
  <c r="H16" i="1"/>
  <c r="H11" i="1"/>
  <c r="H28" i="1"/>
  <c r="H30" i="1"/>
  <c r="H14" i="1"/>
  <c r="H40" i="1"/>
  <c r="H27" i="1"/>
  <c r="H10" i="1"/>
  <c r="H5" i="1"/>
  <c r="H9" i="1"/>
  <c r="H23" i="1"/>
  <c r="I18" i="1" a="1"/>
  <c r="I22" i="1" a="1"/>
  <c r="I35" i="1" a="1"/>
  <c r="I30" i="1" a="1"/>
  <c r="I11" i="1" a="1"/>
  <c r="I29" i="1" a="1"/>
  <c r="I10" i="1" a="1"/>
  <c r="I8" i="1" a="1"/>
  <c r="I42" i="1" a="1"/>
  <c r="I39" i="1" a="1"/>
  <c r="I34" i="1" a="1"/>
  <c r="I15" i="1" a="1"/>
  <c r="I16" i="1" a="1"/>
  <c r="I37" i="1" a="1"/>
  <c r="I26" i="1" a="1"/>
  <c r="I20" i="1" a="1"/>
  <c r="I41" i="1" a="1"/>
  <c r="I32" i="1" a="1"/>
  <c r="I14" i="1" a="1"/>
  <c r="I21" i="1" a="1"/>
  <c r="I19" i="1" a="1"/>
  <c r="I40" i="1" a="1"/>
  <c r="I24" i="1" a="1"/>
  <c r="I13" i="1" a="1"/>
  <c r="I31" i="1" a="1"/>
  <c r="I17" i="1" a="1"/>
  <c r="I33" i="1" a="1"/>
  <c r="I23" i="1" a="1"/>
  <c r="I6" i="1" a="1"/>
  <c r="I12" i="1" a="1"/>
  <c r="I7" i="1" a="1"/>
  <c r="I38" i="1" a="1"/>
  <c r="I36" i="1" a="1"/>
  <c r="I9" i="1" a="1"/>
  <c r="I5" i="1" a="1"/>
  <c r="I25" i="1" a="1"/>
  <c r="I4" i="1" a="1"/>
  <c r="I27" i="1" a="1"/>
  <c r="I28" i="1" a="1"/>
  <c r="I43" i="1" a="1"/>
  <c r="H44" i="1" l="1"/>
  <c r="I41" i="1"/>
  <c r="I23" i="1"/>
  <c r="I37" i="1"/>
  <c r="I9" i="1"/>
  <c r="I39" i="1"/>
  <c r="I10" i="1"/>
  <c r="I40" i="1"/>
  <c r="I11" i="1"/>
  <c r="I43" i="1"/>
  <c r="I27" i="1"/>
  <c r="I25" i="1"/>
  <c r="I15" i="1"/>
  <c r="I38" i="1"/>
  <c r="I13" i="1"/>
  <c r="I19" i="1"/>
  <c r="I30" i="1"/>
  <c r="I20" i="1"/>
  <c r="I26" i="1"/>
  <c r="I17" i="1"/>
  <c r="I31" i="1"/>
  <c r="I42" i="1"/>
  <c r="I12" i="1"/>
  <c r="I21" i="1"/>
  <c r="I35" i="1"/>
  <c r="I6" i="1"/>
  <c r="I33" i="1"/>
  <c r="I5" i="1"/>
  <c r="I36" i="1"/>
  <c r="I8" i="1"/>
  <c r="I29" i="1"/>
  <c r="I14" i="1"/>
  <c r="I22" i="1"/>
  <c r="I28" i="1"/>
  <c r="I4" i="1"/>
  <c r="I16" i="1"/>
  <c r="I34" i="1"/>
  <c r="I7" i="1"/>
  <c r="I24" i="1"/>
  <c r="I32" i="1"/>
  <c r="I18" i="1"/>
  <c r="I4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tc={93C14D44-06F1-4C22-9617-58376560A53D}</author>
    <author>tc={9859E32F-B941-4BB3-8F71-4570CF5703E9}</author>
  </authors>
  <commentList>
    <comment ref="F3" authorId="0" shapeId="0" xr:uid="{93C14D44-06F1-4C22-9617-58376560A53D}">
      <text>
        <t>[Threaded comment]
Your version of Excel allows you to read this threaded comment; however, any edits to it will get removed if the file is opened in a newer version of Excel. Learn more: https://go.microsoft.com/fwlink/?linkid=870924
Comment:
    =RANDBETWEEN(1,3)+RAND()</t>
      </text>
    </comment>
    <comment ref="G3" authorId="1" shapeId="0" xr:uid="{9859E32F-B941-4BB3-8F71-4570CF5703E9}">
      <text>
        <t>[Threaded comment]
Your version of Excel allows you to read this threaded comment; however, any edits to it will get removed if the file is opened in a newer version of Excel. Learn more: https://go.microsoft.com/fwlink/?linkid=870924
Comment:
    =ROUND(RANDBETWEEN(100,8000),-2)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tc={79E5AAC6-4C4A-4706-9BB5-385A83B51AE1}</author>
    <author>tc={82F4440A-B5B7-4AD9-9E6E-2521C4556527}</author>
  </authors>
  <commentList>
    <comment ref="F1" authorId="0" shapeId="0" xr:uid="{79E5AAC6-4C4A-4706-9BB5-385A83B51AE1}">
      <text>
        <t>[Threaded comment]
Your version of Excel allows you to read this threaded comment; however, any edits to it will get removed if the file is opened in a newer version of Excel. Learn more: https://go.microsoft.com/fwlink/?linkid=870924
Comment:
    =RANDBETWEEN(1,3)+RAND()</t>
      </text>
    </comment>
    <comment ref="G1" authorId="1" shapeId="0" xr:uid="{82F4440A-B5B7-4AD9-9E6E-2521C4556527}">
      <text>
        <t>[Threaded comment]
Your version of Excel allows you to read this threaded comment; however, any edits to it will get removed if the file is opened in a newer version of Excel. Learn more: https://go.microsoft.com/fwlink/?linkid=870924
Comment:
    =ROUND(RANDBETWEEN(100,8000),-2)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<sst xmlns="http://schemas.openxmlformats.org/spreadsheetml/2006/main" count="1902" uniqueCount="381">
  <si>
    <t>Last Name</t>
  </si>
  <si>
    <t>First Name</t>
  </si>
  <si>
    <t>Major</t>
  </si>
  <si>
    <t>Status</t>
  </si>
  <si>
    <t>Semesters
at USF</t>
  </si>
  <si>
    <t>GPA</t>
  </si>
  <si>
    <t>Donor
Scholarship</t>
  </si>
  <si>
    <t>Scholarship
Increase</t>
  </si>
  <si>
    <t>Total
Scholarship</t>
  </si>
  <si>
    <t>Andre</t>
  </si>
  <si>
    <t>Vargas</t>
  </si>
  <si>
    <t>Katie</t>
  </si>
  <si>
    <t>Villegas</t>
  </si>
  <si>
    <t>Alex</t>
  </si>
  <si>
    <t>Leonard</t>
  </si>
  <si>
    <t>Russ</t>
  </si>
  <si>
    <t>Wiley</t>
  </si>
  <si>
    <t>Graciela</t>
  </si>
  <si>
    <t>Herrera</t>
  </si>
  <si>
    <t>Estella</t>
  </si>
  <si>
    <t>Fernandez</t>
  </si>
  <si>
    <t>Rena</t>
  </si>
  <si>
    <t>Costa</t>
  </si>
  <si>
    <t>Kurtis</t>
  </si>
  <si>
    <t>Massey</t>
  </si>
  <si>
    <t>Aubrey</t>
  </si>
  <si>
    <t>Whitaker</t>
  </si>
  <si>
    <t>Shirley</t>
  </si>
  <si>
    <t>Cunningham</t>
  </si>
  <si>
    <t>Esteban</t>
  </si>
  <si>
    <t>Salazar</t>
  </si>
  <si>
    <t>Angel</t>
  </si>
  <si>
    <t>Clay</t>
  </si>
  <si>
    <t>Aida</t>
  </si>
  <si>
    <t>Herring</t>
  </si>
  <si>
    <t>Abram</t>
  </si>
  <si>
    <t>Castro</t>
  </si>
  <si>
    <t>Trevor</t>
  </si>
  <si>
    <t>Lawrence</t>
  </si>
  <si>
    <t>Danilo</t>
  </si>
  <si>
    <t>Adams</t>
  </si>
  <si>
    <t>Rogelio</t>
  </si>
  <si>
    <t>Mcdowell</t>
  </si>
  <si>
    <t>Carissa</t>
  </si>
  <si>
    <t>Brady</t>
  </si>
  <si>
    <t>Jarred</t>
  </si>
  <si>
    <t>Mcmahon</t>
  </si>
  <si>
    <t>Dorothea</t>
  </si>
  <si>
    <t>Arroyo</t>
  </si>
  <si>
    <t>Annabelle</t>
  </si>
  <si>
    <t>Shields</t>
  </si>
  <si>
    <t>Oscar</t>
  </si>
  <si>
    <t>Nichols</t>
  </si>
  <si>
    <t>Myrtle</t>
  </si>
  <si>
    <t>Bartlett</t>
  </si>
  <si>
    <t>Mari</t>
  </si>
  <si>
    <t>Schneider</t>
  </si>
  <si>
    <t>Jody</t>
  </si>
  <si>
    <t>Rowe</t>
  </si>
  <si>
    <t>Stacie</t>
  </si>
  <si>
    <t>Reynolds</t>
  </si>
  <si>
    <t>Waylon</t>
  </si>
  <si>
    <t>Spears</t>
  </si>
  <si>
    <t>Cynthia</t>
  </si>
  <si>
    <t>Daugherty</t>
  </si>
  <si>
    <t>Damien</t>
  </si>
  <si>
    <t>Mays</t>
  </si>
  <si>
    <t>Lenny</t>
  </si>
  <si>
    <t>Pope</t>
  </si>
  <si>
    <t>Dale</t>
  </si>
  <si>
    <t>Phillips</t>
  </si>
  <si>
    <t>Antonio</t>
  </si>
  <si>
    <t>Blackwell</t>
  </si>
  <si>
    <t>Raymundo</t>
  </si>
  <si>
    <t>Tapia</t>
  </si>
  <si>
    <t>June</t>
  </si>
  <si>
    <t>Haynes</t>
  </si>
  <si>
    <t>Samuel</t>
  </si>
  <si>
    <t>Daniels</t>
  </si>
  <si>
    <t>Deanna</t>
  </si>
  <si>
    <t>Dunlap</t>
  </si>
  <si>
    <t>Rosalind</t>
  </si>
  <si>
    <t>Lester</t>
  </si>
  <si>
    <t>Jonathon</t>
  </si>
  <si>
    <t>Fisher</t>
  </si>
  <si>
    <t>Jasmine</t>
  </si>
  <si>
    <t>Evans</t>
  </si>
  <si>
    <t>Les</t>
  </si>
  <si>
    <t>Beard</t>
  </si>
  <si>
    <t>Finance</t>
  </si>
  <si>
    <t>Accounting</t>
  </si>
  <si>
    <t>Advertising</t>
  </si>
  <si>
    <t>BAIS</t>
  </si>
  <si>
    <t>Hospitality Management</t>
  </si>
  <si>
    <t>Domestic</t>
  </si>
  <si>
    <t>FL Resident</t>
  </si>
  <si>
    <t>International</t>
  </si>
  <si>
    <t>Percent
Increase:</t>
  </si>
  <si>
    <t>Koby Manning</t>
  </si>
  <si>
    <t>Scholarship Request Form</t>
  </si>
  <si>
    <t>Last</t>
  </si>
  <si>
    <t>First</t>
  </si>
  <si>
    <t>Degree</t>
  </si>
  <si>
    <t>Semesters
Completed</t>
  </si>
  <si>
    <t>Current GPA</t>
  </si>
  <si>
    <t>Scholarship Needs</t>
  </si>
  <si>
    <t>Majors</t>
  </si>
  <si>
    <t>Semesters Completed</t>
  </si>
  <si>
    <t>Koby</t>
  </si>
  <si>
    <t>Manning</t>
  </si>
  <si>
    <t>Scholarship
Needs</t>
  </si>
  <si>
    <t>Majors Reference</t>
  </si>
  <si>
    <t>Status Reference</t>
  </si>
  <si>
    <t>GPA Reference</t>
  </si>
  <si>
    <t>&lt;2</t>
  </si>
  <si>
    <t>2 - 2.49</t>
  </si>
  <si>
    <t>2.5 - 2.99</t>
  </si>
  <si>
    <t>3 - 3.49</t>
  </si>
  <si>
    <t>3.5 - 4</t>
  </si>
  <si>
    <t>Name:</t>
  </si>
  <si>
    <t>McBride, Nancy</t>
  </si>
  <si>
    <t>Major:</t>
  </si>
  <si>
    <t>GPA:</t>
  </si>
  <si>
    <t>Address:</t>
  </si>
  <si>
    <t>355 Union Blvd., Suite 10</t>
  </si>
  <si>
    <t>Address 2:</t>
  </si>
  <si>
    <t>Lakewood, FL</t>
  </si>
  <si>
    <t>Phone:</t>
  </si>
  <si>
    <t>(813) 987-0404</t>
  </si>
  <si>
    <t>Email:</t>
  </si>
  <si>
    <t>McBride@usf.edu</t>
  </si>
  <si>
    <t>Ranes, Kim</t>
  </si>
  <si>
    <t>Personal Financial Planning</t>
  </si>
  <si>
    <t>6343 W. 120th Ave., Ste. 100</t>
  </si>
  <si>
    <t>Broomfield, FL</t>
  </si>
  <si>
    <t>(813) 469-6723 , (207) 626-1419</t>
  </si>
  <si>
    <t>Ranes@usf.edu</t>
  </si>
  <si>
    <t>Arnold, Darlene Jayce</t>
  </si>
  <si>
    <t>5475 Tech Center Drive, Suite 300</t>
  </si>
  <si>
    <t>Florida Springs, FL</t>
  </si>
  <si>
    <t>(900) 593-1000 , (207) 888-8208</t>
  </si>
  <si>
    <t>Arnold@usf.edu</t>
  </si>
  <si>
    <t>Barros, Christina</t>
  </si>
  <si>
    <t>Global Business</t>
  </si>
  <si>
    <t>104 Hickory Oaks</t>
  </si>
  <si>
    <t>Loveland, FL</t>
  </si>
  <si>
    <t>(900) 581-9667</t>
  </si>
  <si>
    <t>Barros@usf.edu</t>
  </si>
  <si>
    <t>Secrete, Margaret</t>
  </si>
  <si>
    <t>628 Main</t>
  </si>
  <si>
    <t>Windsor, FL</t>
  </si>
  <si>
    <t>(900) 353-6088</t>
  </si>
  <si>
    <t>Segreti@usf.edu</t>
  </si>
  <si>
    <t>Ward, Suzanne M</t>
  </si>
  <si>
    <t>101 University Blvd. #100</t>
  </si>
  <si>
    <t>Tampa, FL</t>
  </si>
  <si>
    <t>(813) 320-5733 , (207) 856-8355</t>
  </si>
  <si>
    <t>Ward@usf.edu</t>
  </si>
  <si>
    <t>King, Larry J</t>
  </si>
  <si>
    <t>Business Analytics and Info Systems</t>
  </si>
  <si>
    <t>2630 Tenderfoot Hill St.</t>
  </si>
  <si>
    <t>(900) 576-5000</t>
  </si>
  <si>
    <t>King@usf.edu</t>
  </si>
  <si>
    <t>Parker, Carolyn L</t>
  </si>
  <si>
    <t>Marketing</t>
  </si>
  <si>
    <t>10375 Park Meadows, Suite 100</t>
  </si>
  <si>
    <t>Lone Tree, FL</t>
  </si>
  <si>
    <t>(813) 850-1916 , (866) 820-6457</t>
  </si>
  <si>
    <t>Parker@usf.edu</t>
  </si>
  <si>
    <t>Smith, Karon L</t>
  </si>
  <si>
    <t>10157 Owens Drive</t>
  </si>
  <si>
    <t>Westminster, FL</t>
  </si>
  <si>
    <t>Smith@usf.edu</t>
  </si>
  <si>
    <t>Cunningham, Carrie A</t>
  </si>
  <si>
    <t>Management</t>
  </si>
  <si>
    <t>19 E. Abarr Drive</t>
  </si>
  <si>
    <t>Pueblo West, FL</t>
  </si>
  <si>
    <t>(900) 547-1739, (207) 699-1716</t>
  </si>
  <si>
    <t>Cunningham@usf.edu</t>
  </si>
  <si>
    <t>Danzl, James J</t>
  </si>
  <si>
    <t>6377 S. Revere Parkway</t>
  </si>
  <si>
    <t>Centennial, FL</t>
  </si>
  <si>
    <t>(813) 799-8100, (207) 799-8100</t>
  </si>
  <si>
    <t>Danzl@usf.edu</t>
  </si>
  <si>
    <t>Wilson, Joyce A</t>
  </si>
  <si>
    <t>5690 D.T.C. Blvd</t>
  </si>
  <si>
    <t>Greenwood Village, FL</t>
  </si>
  <si>
    <t>(813) 773-3399 , (207) 723-7653</t>
  </si>
  <si>
    <t>Wilson@usf.edu</t>
  </si>
  <si>
    <t>Trimble, Dixie Lee</t>
  </si>
  <si>
    <t>6400 S. FiddlersGreen Circle #108</t>
  </si>
  <si>
    <t>Englewood, FL</t>
  </si>
  <si>
    <t>(813) 771-9400, (207) 766-1669</t>
  </si>
  <si>
    <t>Trimble@usf.edu</t>
  </si>
  <si>
    <t>Harris, John</t>
  </si>
  <si>
    <t>20 W. 84th Avenue, Suite 220</t>
  </si>
  <si>
    <t>(813) 429-1234</t>
  </si>
  <si>
    <t>Harris@usf.edu</t>
  </si>
  <si>
    <t>White, Judy E</t>
  </si>
  <si>
    <t>3880 N. Grant Ave. Ste. 140</t>
  </si>
  <si>
    <t>(900) 278-4127</t>
  </si>
  <si>
    <t>White@usf.edu</t>
  </si>
  <si>
    <t>Carter, Sherrill</t>
  </si>
  <si>
    <t>11150 Huron Street, Suite 100</t>
  </si>
  <si>
    <t>Northglenn, FL</t>
  </si>
  <si>
    <t>(813) 452-5853</t>
  </si>
  <si>
    <t>Carter@usf.edu</t>
  </si>
  <si>
    <t>Benson, Ariel</t>
  </si>
  <si>
    <t>2038 Gaylord St.</t>
  </si>
  <si>
    <t>(813) 320-4266</t>
  </si>
  <si>
    <t>Benson@usf.edu</t>
  </si>
  <si>
    <t>Maier, Amy</t>
  </si>
  <si>
    <t>390 Union</t>
  </si>
  <si>
    <t>(813) 423-5220</t>
  </si>
  <si>
    <t>Maier@usf.edu</t>
  </si>
  <si>
    <t>Schwartz, Kennard R</t>
  </si>
  <si>
    <t>5445 Montebello Lane</t>
  </si>
  <si>
    <t>(900) 599-4445</t>
  </si>
  <si>
    <t>Schwartz@usf.edu</t>
  </si>
  <si>
    <t>Jarrell, L Coleman</t>
  </si>
  <si>
    <t>1020 - G Ken Pratt Blvd., Suite G</t>
  </si>
  <si>
    <t>Longmont, FL</t>
  </si>
  <si>
    <t>(813) 651-6334 , (866) 651-6334</t>
  </si>
  <si>
    <t>Jarrell@usf.edu</t>
  </si>
  <si>
    <t>Bettin, Janene</t>
  </si>
  <si>
    <t>3300 28th St.</t>
  </si>
  <si>
    <t>Boulder, FL</t>
  </si>
  <si>
    <t>(813) 441-2436 , (207) 654-4788</t>
  </si>
  <si>
    <t>Bettin@usf.edu</t>
  </si>
  <si>
    <t>Hill, Roger</t>
  </si>
  <si>
    <t>16731 E. Cliff Avenue, #1100</t>
  </si>
  <si>
    <t>Aurora, FL</t>
  </si>
  <si>
    <t>(813) 671-9311 , (207) 370-1497</t>
  </si>
  <si>
    <t>Hill@usf.edu</t>
  </si>
  <si>
    <t>Browning, Jennifer D</t>
  </si>
  <si>
    <t>1202 Bergen Parkway</t>
  </si>
  <si>
    <t>Evergreen, FL</t>
  </si>
  <si>
    <t>(813) 674-2418 , (207) 574-6667</t>
  </si>
  <si>
    <t>Browning@usf.edu</t>
  </si>
  <si>
    <t>Ricciardi, Margene</t>
  </si>
  <si>
    <t>102 E. Girard Avenue #C-150</t>
  </si>
  <si>
    <t>(813) 756-4161</t>
  </si>
  <si>
    <t>Ricciardi@usf.edu</t>
  </si>
  <si>
    <t>Christensen, John H</t>
  </si>
  <si>
    <t>8760 S. Garland Court</t>
  </si>
  <si>
    <t>Littleton, FL</t>
  </si>
  <si>
    <t>(813) 972-2555</t>
  </si>
  <si>
    <t>Christensen@usf.edu</t>
  </si>
  <si>
    <t>Blake, Miriam N</t>
  </si>
  <si>
    <t>2350 17th Ave.</t>
  </si>
  <si>
    <t>(813) 772-3800, (207) 228-0995</t>
  </si>
  <si>
    <t>Blake@usf.edu</t>
  </si>
  <si>
    <t>Barnard, Elaine J</t>
  </si>
  <si>
    <t>7150 N. Academy Blvd.</t>
  </si>
  <si>
    <t>(900) 590-6108 , (207) 727-7820</t>
  </si>
  <si>
    <t>Barnard@usf.edu</t>
  </si>
  <si>
    <t>Broderick, Deborah L</t>
  </si>
  <si>
    <t>11001 W. 120th Avenue #240</t>
  </si>
  <si>
    <t>(813) 456-8361, (888) 851-6250</t>
  </si>
  <si>
    <t>Broderick@usf.edu</t>
  </si>
  <si>
    <t>Kos, Christine A</t>
  </si>
  <si>
    <t>825 S. Broadway</t>
  </si>
  <si>
    <t>(813) 497-0625 , (207) 447-4250</t>
  </si>
  <si>
    <t>Kos@usf.edu</t>
  </si>
  <si>
    <t>Brownlee, Lloyd J</t>
  </si>
  <si>
    <t>2350 17th Avenue</t>
  </si>
  <si>
    <t>(813) 772-3811, (207) 228-0995</t>
  </si>
  <si>
    <t>Brownlee@usf.edu</t>
  </si>
  <si>
    <t>Hickerson, Judy</t>
  </si>
  <si>
    <t>(900) 547-1756 , (866) 546-3250</t>
  </si>
  <si>
    <t>Hickerson@usf.edu</t>
  </si>
  <si>
    <t>Doud, Pat</t>
  </si>
  <si>
    <t>9191 Sheridan Blvd. #310</t>
  </si>
  <si>
    <t>(813) 579-8692</t>
  </si>
  <si>
    <t>Doud@usf.edu</t>
  </si>
  <si>
    <t>Lynch, Peggy</t>
  </si>
  <si>
    <t>451 - 21st Avenue</t>
  </si>
  <si>
    <t>(813) 772-7477, (866) 699-0876</t>
  </si>
  <si>
    <t>Lynch@usf.edu</t>
  </si>
  <si>
    <t>Campbell, Jancy</t>
  </si>
  <si>
    <t>710 Kipling Street, Suite 110</t>
  </si>
  <si>
    <t>(813) 232-4444</t>
  </si>
  <si>
    <t>Campbell@usf.edu</t>
  </si>
  <si>
    <t>Clark, Laurie</t>
  </si>
  <si>
    <t>12303 Airport Way, #270</t>
  </si>
  <si>
    <t>(813) 449-5000</t>
  </si>
  <si>
    <t>Clark@usf.edu</t>
  </si>
  <si>
    <t>Serafini, Robin J</t>
  </si>
  <si>
    <t>6855 Omaha Boulevard</t>
  </si>
  <si>
    <t>(900) 477-1180 , (207) 599-7242</t>
  </si>
  <si>
    <t>Serafini@usf.edu</t>
  </si>
  <si>
    <t>Coburn, Sue</t>
  </si>
  <si>
    <t>3215 Austin Bluffs Parkway</t>
  </si>
  <si>
    <t>(900) 637-7227 , (207) 243-8181</t>
  </si>
  <si>
    <t>Coburn@usf.edu</t>
  </si>
  <si>
    <t>Murphy, Rose Marie</t>
  </si>
  <si>
    <t>1599 Walnut Drive</t>
  </si>
  <si>
    <t>Brighton, FL</t>
  </si>
  <si>
    <t>(813) 252-7700</t>
  </si>
  <si>
    <t>Murphy@usf.edu</t>
  </si>
  <si>
    <t>Cucchi, Anne</t>
  </si>
  <si>
    <t>390 Union Blvd</t>
  </si>
  <si>
    <t>(813) 985-4555</t>
  </si>
  <si>
    <t>Cucchi@usf.edu</t>
  </si>
  <si>
    <t>Mason, Beth</t>
  </si>
  <si>
    <t>12000 Pecos St. #160</t>
  </si>
  <si>
    <t>(813) 457-4800 , (207) 433-0043</t>
  </si>
  <si>
    <t>Mason@usf.edu</t>
  </si>
  <si>
    <t>Hay, Sally</t>
  </si>
  <si>
    <t>1745 Shea Center Dr. #110</t>
  </si>
  <si>
    <t>Highlands Ranch, FL</t>
  </si>
  <si>
    <t>(813) 638-1497 , (207) 533-6837</t>
  </si>
  <si>
    <t>Hay@usf.edu</t>
  </si>
  <si>
    <t>Henry, Melanie</t>
  </si>
  <si>
    <t>3835 W. 10th Street, Suite 100E</t>
  </si>
  <si>
    <t>Greeley, FL</t>
  </si>
  <si>
    <t>(900) 351-0405</t>
  </si>
  <si>
    <t>Henry@usf.edu</t>
  </si>
  <si>
    <t>Carithers, Kay</t>
  </si>
  <si>
    <t>6025 South Quebec Street, Suite 100</t>
  </si>
  <si>
    <t>(813) 740-8100</t>
  </si>
  <si>
    <t>Carithers@usf.edu</t>
  </si>
  <si>
    <t>Zeller, Kelly</t>
  </si>
  <si>
    <t>3595 S. Teller St. #200</t>
  </si>
  <si>
    <t>(813) 987-4988 , (207) 401-0856</t>
  </si>
  <si>
    <t>Zeller@usf.edu</t>
  </si>
  <si>
    <t>Mattys, Susannah</t>
  </si>
  <si>
    <t>2305 E. Arapahoe Road, #145</t>
  </si>
  <si>
    <t>(813) 797-1901</t>
  </si>
  <si>
    <t>Mattys@usf.edu</t>
  </si>
  <si>
    <t>Repp, Jane</t>
  </si>
  <si>
    <t>1401 Bridge St.</t>
  </si>
  <si>
    <t>(813) 478-8037 , (888) 346-3522</t>
  </si>
  <si>
    <t>Repp@usf.edu</t>
  </si>
  <si>
    <t>Miller, Mimi A</t>
  </si>
  <si>
    <t>200-141 Union Blvd.</t>
  </si>
  <si>
    <t>(813) 914-4113 , (207) 857-4663</t>
  </si>
  <si>
    <t>Miller@usf.edu</t>
  </si>
  <si>
    <t>Jay, Ronald R</t>
  </si>
  <si>
    <t>4703 Boardwalk Dr.</t>
  </si>
  <si>
    <t>Fort Fallings, FL</t>
  </si>
  <si>
    <t>(900) 206-8262 , (207) 571-0703</t>
  </si>
  <si>
    <t>Jay@usf.edu</t>
  </si>
  <si>
    <t>Richards, Kent</t>
  </si>
  <si>
    <t>9035 Wadsworth # 4000</t>
  </si>
  <si>
    <t>(813) 422-5200 , (207) 425-5400</t>
  </si>
  <si>
    <t>Richards@usf.edu</t>
  </si>
  <si>
    <t>Beals, Ronnie V</t>
  </si>
  <si>
    <t>2821 S. Parker Road, Suite 115</t>
  </si>
  <si>
    <t>(813) 750-4500, (207) 711-0636</t>
  </si>
  <si>
    <t>Beals@usf.edu</t>
  </si>
  <si>
    <t>Haban, Eileen</t>
  </si>
  <si>
    <t>5440 Ward Road, Suite 110</t>
  </si>
  <si>
    <t>Arvada, FL</t>
  </si>
  <si>
    <t>(813) 456-2113 , (207) 211-5716</t>
  </si>
  <si>
    <t>Haban@usf.edu</t>
  </si>
  <si>
    <t>MacDonald, Mary B</t>
  </si>
  <si>
    <t>11152 Huron Street, #207</t>
  </si>
  <si>
    <t>(813) 254-5925</t>
  </si>
  <si>
    <t>MacDonald@usf.edu</t>
  </si>
  <si>
    <t>Smith, Dee</t>
  </si>
  <si>
    <t>(813) 340-0242</t>
  </si>
  <si>
    <t>Ackerman, Vance</t>
  </si>
  <si>
    <t>(900) 547-1717, (207) 699-1716</t>
  </si>
  <si>
    <t>Ackerman@usf.edu</t>
  </si>
  <si>
    <t>Willett, Patricia E</t>
  </si>
  <si>
    <t>3673 Parker Blvd. Ste. 100</t>
  </si>
  <si>
    <t>Pueblo, FL</t>
  </si>
  <si>
    <t>(900) 586-8701 , (207) 457-0760</t>
  </si>
  <si>
    <t>Willett@usf.edu</t>
  </si>
  <si>
    <t>Alvarez, Maria</t>
  </si>
  <si>
    <t>3300 28th Street</t>
  </si>
  <si>
    <t xml:space="preserve">(813) 449-5000, (207) 654-4788 </t>
  </si>
  <si>
    <t>Alvarez@usf.edu</t>
  </si>
  <si>
    <t>Clark, Connie</t>
  </si>
  <si>
    <t>5440 Ward Rd.</t>
  </si>
  <si>
    <t>(813) 456-2141 , (207) 887-5184</t>
  </si>
  <si>
    <t>Schulberg, Sheldon</t>
  </si>
  <si>
    <t>44 Cook Street, 9th Floor</t>
  </si>
  <si>
    <t>(813) 336-0353</t>
  </si>
  <si>
    <t>Schulberg@usf.edu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</si>
</sst>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&quot;$&quot;#,##0.00"/>
    <numFmt numFmtId="167" formatCode="&quot;$&quot;#,##0"/>
    <numFmt numFmtId="168" formatCode="m/d/yyyy\ h:mm\ AM/PM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5" tint="-0.2499465926084170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5" tint="-0.2499465926084170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</fills>
  <borders count="2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slantDashDot">
        <color auto="1"/>
      </bottom>
      <diagonal/>
    </border>
    <border>
      <left/>
      <right/>
      <top style="medium">
        <color auto="1"/>
      </top>
      <bottom style="slantDashDot">
        <color auto="1"/>
      </bottom>
      <diagonal/>
    </border>
    <border>
      <left style="mediumDashDotDot">
        <color auto="1"/>
      </left>
      <right/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/>
      <top style="slantDashDot">
        <color auto="1"/>
      </top>
      <bottom/>
      <diagonal/>
    </border>
    <border>
      <left/>
      <right style="mediumDashDotDot">
        <color auto="1"/>
      </right>
      <top style="slantDashDot">
        <color auto="1"/>
      </top>
      <bottom/>
      <diagonal/>
    </border>
    <border>
      <left style="mediumDashDot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/>
      <right style="medium">
        <color auto="1"/>
      </right>
      <top style="slantDashDot">
        <color auto="1"/>
      </top>
      <bottom/>
      <diagonal/>
    </border>
    <border>
      <left style="medium">
        <color auto="1"/>
      </left>
      <right/>
      <top style="slantDashDot">
        <color auto="1"/>
      </top>
      <bottom style="medium">
        <color auto="1"/>
      </bottom>
      <diagonal/>
    </border>
    <border>
      <left/>
      <right style="mediumDashDotDot">
        <color auto="1"/>
      </right>
      <top style="slantDashDot">
        <color auto="1"/>
      </top>
      <bottom style="medium">
        <color auto="1"/>
      </bottom>
      <diagonal/>
    </border>
    <border>
      <left style="mediumDashDotDot">
        <color auto="1"/>
      </left>
      <right/>
      <top style="slantDashDot">
        <color auto="1"/>
      </top>
      <bottom style="medium">
        <color auto="1"/>
      </bottom>
      <diagonal/>
    </border>
    <border>
      <left/>
      <right/>
      <top style="slantDashDot">
        <color auto="1"/>
      </top>
      <bottom style="medium">
        <color auto="1"/>
      </bottom>
      <diagonal/>
    </border>
    <border>
      <left/>
      <right style="medium">
        <color auto="1"/>
      </right>
      <top style="slantDashDot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wrapText="1"/>
    </xf>
    <xf numFmtId="0" fontId="5" fillId="0" borderId="17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5" fillId="0" borderId="21" xfId="0" applyFont="1" applyBorder="1" applyAlignment="1">
      <alignment horizontal="right" wrapText="1"/>
    </xf>
    <xf numFmtId="0" fontId="5" fillId="0" borderId="22" xfId="0" applyFont="1" applyBorder="1" applyAlignment="1">
      <alignment horizontal="right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167" fontId="4" fillId="0" borderId="23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7" fontId="4" fillId="0" borderId="25" xfId="0" applyNumberFormat="1" applyFont="1" applyBorder="1" applyAlignment="1">
      <alignment horizontal="center"/>
    </xf>
    <xf numFmtId="0" fontId="5" fillId="0" borderId="12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0" fontId="5" fillId="0" borderId="16" xfId="0" applyFont="1" applyBorder="1" applyAlignment="1">
      <alignment horizontal="right" vertical="center"/>
    </xf>
    <xf numFmtId="0" fontId="5" fillId="0" borderId="17" xfId="0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5" dropStyle="combo" dx="39" fmlaLink="'Form Background'!$C$19" fmlaRange="'Form Background'!$A$2:$A$6" noThreeD="1" sel="1" val="0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'Form Background'!$D$19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firstButton="1" fmlaLink="'Form Background'!$F$19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19050</xdr:rowOff>
    </xdr:from>
    <xdr:to>
      <xdr:col>15</xdr:col>
      <xdr:colOff>533400</xdr:colOff>
      <xdr:row>5</xdr:row>
      <xdr:rowOff>0</xdr:rowOff>
    </xdr:to>
    <xdr:sp macro="[0]!UPPCTScholarsh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39500" y="81915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 Percent Increase</a:t>
          </a:r>
        </a:p>
      </xdr:txBody>
    </xdr:sp>
    <xdr:clientData/>
  </xdr:twoCellAnchor>
  <xdr:twoCellAnchor>
    <xdr:from>
      <xdr:col>13</xdr:col>
      <xdr:colOff>0</xdr:colOff>
      <xdr:row>5</xdr:row>
      <xdr:rowOff>181927</xdr:rowOff>
    </xdr:from>
    <xdr:to>
      <xdr:col>15</xdr:col>
      <xdr:colOff>533400</xdr:colOff>
      <xdr:row>7</xdr:row>
      <xdr:rowOff>162877</xdr:rowOff>
    </xdr:to>
    <xdr:sp macro="[0]!Mac1_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239500" y="1363027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Mac1 Sort by Last Name</a:t>
          </a:r>
        </a:p>
        <a:p>
          <a:pPr algn="ctr"/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8</xdr:row>
      <xdr:rowOff>182880</xdr:rowOff>
    </xdr:from>
    <xdr:to>
      <xdr:col>15</xdr:col>
      <xdr:colOff>533400</xdr:colOff>
      <xdr:row>10</xdr:row>
      <xdr:rowOff>163830</xdr:rowOff>
    </xdr:to>
    <xdr:sp macro="[0]!Mac2_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39500" y="193548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Mac2 Sort by Status</a:t>
          </a:r>
        </a:p>
        <a:p>
          <a:pPr algn="ctr"/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183832</xdr:rowOff>
    </xdr:from>
    <xdr:to>
      <xdr:col>15</xdr:col>
      <xdr:colOff>533400</xdr:colOff>
      <xdr:row>13</xdr:row>
      <xdr:rowOff>164782</xdr:rowOff>
    </xdr:to>
    <xdr:sp macro="[0]!Mac3_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239500" y="2507932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Mac3 Add</a:t>
          </a:r>
          <a:r>
            <a:rPr lang="en-US" sz="1100" b="1" baseline="0">
              <a:solidFill>
                <a:schemeClr val="bg1"/>
              </a:solidFill>
            </a:rPr>
            <a:t> Name Plus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14</xdr:row>
      <xdr:rowOff>184784</xdr:rowOff>
    </xdr:from>
    <xdr:to>
      <xdr:col>15</xdr:col>
      <xdr:colOff>533400</xdr:colOff>
      <xdr:row>16</xdr:row>
      <xdr:rowOff>165734</xdr:rowOff>
    </xdr:to>
    <xdr:sp macro="[0]!Mac4_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239500" y="3080384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Mac4</a:t>
          </a:r>
          <a:r>
            <a:rPr lang="en-US" sz="1100" b="1" baseline="0">
              <a:solidFill>
                <a:schemeClr val="bg1"/>
              </a:solidFill>
            </a:rPr>
            <a:t> Save As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17</xdr:row>
      <xdr:rowOff>185736</xdr:rowOff>
    </xdr:from>
    <xdr:to>
      <xdr:col>15</xdr:col>
      <xdr:colOff>533400</xdr:colOff>
      <xdr:row>19</xdr:row>
      <xdr:rowOff>166686</xdr:rowOff>
    </xdr:to>
    <xdr:sp macro="[0]!Mac5_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239500" y="3652836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Mac5 Add Fill</a:t>
          </a:r>
        </a:p>
      </xdr:txBody>
    </xdr:sp>
    <xdr:clientData/>
  </xdr:twoCellAnchor>
  <xdr:twoCellAnchor>
    <xdr:from>
      <xdr:col>13</xdr:col>
      <xdr:colOff>0</xdr:colOff>
      <xdr:row>20</xdr:row>
      <xdr:rowOff>186688</xdr:rowOff>
    </xdr:from>
    <xdr:to>
      <xdr:col>15</xdr:col>
      <xdr:colOff>533400</xdr:colOff>
      <xdr:row>22</xdr:row>
      <xdr:rowOff>167638</xdr:rowOff>
    </xdr:to>
    <xdr:sp macro="[0]!Mac6_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239500" y="4225288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Mac6</a:t>
          </a:r>
          <a:r>
            <a:rPr lang="en-US" sz="1100" b="1" baseline="0">
              <a:solidFill>
                <a:schemeClr val="bg1"/>
              </a:solidFill>
            </a:rPr>
            <a:t> Remove Fill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23</xdr:row>
      <xdr:rowOff>187640</xdr:rowOff>
    </xdr:from>
    <xdr:to>
      <xdr:col>15</xdr:col>
      <xdr:colOff>533400</xdr:colOff>
      <xdr:row>25</xdr:row>
      <xdr:rowOff>168590</xdr:rowOff>
    </xdr:to>
    <xdr:sp macro="[0]!Mac7_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239500" y="479774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Mac7 Toggle Fill</a:t>
          </a:r>
        </a:p>
      </xdr:txBody>
    </xdr:sp>
    <xdr:clientData/>
  </xdr:twoCellAnchor>
  <xdr:twoCellAnchor>
    <xdr:from>
      <xdr:col>13</xdr:col>
      <xdr:colOff>0</xdr:colOff>
      <xdr:row>26</xdr:row>
      <xdr:rowOff>188592</xdr:rowOff>
    </xdr:from>
    <xdr:to>
      <xdr:col>15</xdr:col>
      <xdr:colOff>533400</xdr:colOff>
      <xdr:row>28</xdr:row>
      <xdr:rowOff>169542</xdr:rowOff>
    </xdr:to>
    <xdr:sp macro="[0]!Mac8_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239500" y="5370192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Mac8 Find Formulas</a:t>
          </a:r>
        </a:p>
      </xdr:txBody>
    </xdr:sp>
    <xdr:clientData/>
  </xdr:twoCellAnchor>
  <xdr:twoCellAnchor>
    <xdr:from>
      <xdr:col>13</xdr:col>
      <xdr:colOff>0</xdr:colOff>
      <xdr:row>29</xdr:row>
      <xdr:rowOff>189544</xdr:rowOff>
    </xdr:from>
    <xdr:to>
      <xdr:col>15</xdr:col>
      <xdr:colOff>533400</xdr:colOff>
      <xdr:row>31</xdr:row>
      <xdr:rowOff>170494</xdr:rowOff>
    </xdr:to>
    <xdr:sp macro="[0]!Mac9_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239500" y="5942644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Mac9 Formulas to Values</a:t>
          </a:r>
        </a:p>
      </xdr:txBody>
    </xdr:sp>
    <xdr:clientData/>
  </xdr:twoCellAnchor>
  <xdr:twoCellAnchor>
    <xdr:from>
      <xdr:col>13</xdr:col>
      <xdr:colOff>0</xdr:colOff>
      <xdr:row>33</xdr:row>
      <xdr:rowOff>0</xdr:rowOff>
    </xdr:from>
    <xdr:to>
      <xdr:col>15</xdr:col>
      <xdr:colOff>533400</xdr:colOff>
      <xdr:row>34</xdr:row>
      <xdr:rowOff>171450</xdr:rowOff>
    </xdr:to>
    <xdr:sp macro="[0]!Mac10_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39500" y="651510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 10 Add Total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3</xdr:row>
      <xdr:rowOff>0</xdr:rowOff>
    </xdr:from>
    <xdr:to>
      <xdr:col>15</xdr:col>
      <xdr:colOff>571500</xdr:colOff>
      <xdr:row>4</xdr:row>
      <xdr:rowOff>171450</xdr:rowOff>
    </xdr:to>
    <xdr:sp macro="[0]!UPPCTScholarshi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582275" y="80010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 Percent Increase</a:t>
          </a:r>
        </a:p>
      </xdr:txBody>
    </xdr:sp>
    <xdr:clientData/>
  </xdr:twoCellAnchor>
  <xdr:twoCellAnchor>
    <xdr:from>
      <xdr:col>13</xdr:col>
      <xdr:colOff>38100</xdr:colOff>
      <xdr:row>5</xdr:row>
      <xdr:rowOff>162877</xdr:rowOff>
    </xdr:from>
    <xdr:to>
      <xdr:col>15</xdr:col>
      <xdr:colOff>571500</xdr:colOff>
      <xdr:row>7</xdr:row>
      <xdr:rowOff>143827</xdr:rowOff>
    </xdr:to>
    <xdr:sp macro="[0]!Mac1_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582275" y="1343977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Mac1 Sort by Last Name</a:t>
          </a:r>
        </a:p>
        <a:p>
          <a:pPr algn="ctr"/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38100</xdr:colOff>
      <xdr:row>8</xdr:row>
      <xdr:rowOff>163830</xdr:rowOff>
    </xdr:from>
    <xdr:to>
      <xdr:col>15</xdr:col>
      <xdr:colOff>571500</xdr:colOff>
      <xdr:row>10</xdr:row>
      <xdr:rowOff>144780</xdr:rowOff>
    </xdr:to>
    <xdr:sp macro="[0]!Mac2_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582275" y="191643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Mac2 Sort by Status</a:t>
          </a:r>
        </a:p>
        <a:p>
          <a:pPr algn="ctr"/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38100</xdr:colOff>
      <xdr:row>11</xdr:row>
      <xdr:rowOff>164782</xdr:rowOff>
    </xdr:from>
    <xdr:to>
      <xdr:col>15</xdr:col>
      <xdr:colOff>571500</xdr:colOff>
      <xdr:row>13</xdr:row>
      <xdr:rowOff>145732</xdr:rowOff>
    </xdr:to>
    <xdr:sp macro="[0]!Mac3_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582275" y="2488882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Mac3 Add</a:t>
          </a:r>
          <a:r>
            <a:rPr lang="en-US" sz="1100" b="1" baseline="0">
              <a:solidFill>
                <a:schemeClr val="bg1"/>
              </a:solidFill>
            </a:rPr>
            <a:t> Name Plus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38100</xdr:colOff>
      <xdr:row>14</xdr:row>
      <xdr:rowOff>165734</xdr:rowOff>
    </xdr:from>
    <xdr:to>
      <xdr:col>15</xdr:col>
      <xdr:colOff>571500</xdr:colOff>
      <xdr:row>16</xdr:row>
      <xdr:rowOff>146684</xdr:rowOff>
    </xdr:to>
    <xdr:sp macro="[0]!Mac4_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582275" y="3061334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Mac4</a:t>
          </a:r>
          <a:r>
            <a:rPr lang="en-US" sz="1100" b="1" baseline="0">
              <a:solidFill>
                <a:schemeClr val="bg1"/>
              </a:solidFill>
            </a:rPr>
            <a:t> Save As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38100</xdr:colOff>
      <xdr:row>17</xdr:row>
      <xdr:rowOff>166686</xdr:rowOff>
    </xdr:from>
    <xdr:to>
      <xdr:col>15</xdr:col>
      <xdr:colOff>571500</xdr:colOff>
      <xdr:row>19</xdr:row>
      <xdr:rowOff>147636</xdr:rowOff>
    </xdr:to>
    <xdr:sp macro="[0]!Mac5_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0582275" y="3633786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Mac5 Add Fill</a:t>
          </a:r>
        </a:p>
      </xdr:txBody>
    </xdr:sp>
    <xdr:clientData/>
  </xdr:twoCellAnchor>
  <xdr:twoCellAnchor>
    <xdr:from>
      <xdr:col>13</xdr:col>
      <xdr:colOff>38100</xdr:colOff>
      <xdr:row>20</xdr:row>
      <xdr:rowOff>167638</xdr:rowOff>
    </xdr:from>
    <xdr:to>
      <xdr:col>15</xdr:col>
      <xdr:colOff>571500</xdr:colOff>
      <xdr:row>22</xdr:row>
      <xdr:rowOff>148588</xdr:rowOff>
    </xdr:to>
    <xdr:sp macro="[0]!Mac6_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582275" y="4206238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Mac6</a:t>
          </a:r>
          <a:r>
            <a:rPr lang="en-US" sz="1100" b="1" baseline="0">
              <a:solidFill>
                <a:schemeClr val="bg1"/>
              </a:solidFill>
            </a:rPr>
            <a:t> Remove Fill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38100</xdr:colOff>
      <xdr:row>23</xdr:row>
      <xdr:rowOff>168590</xdr:rowOff>
    </xdr:from>
    <xdr:to>
      <xdr:col>15</xdr:col>
      <xdr:colOff>571500</xdr:colOff>
      <xdr:row>25</xdr:row>
      <xdr:rowOff>149540</xdr:rowOff>
    </xdr:to>
    <xdr:sp macro="[0]!Mac7_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582275" y="477869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Mac7 Toggle Fill</a:t>
          </a:r>
        </a:p>
      </xdr:txBody>
    </xdr:sp>
    <xdr:clientData/>
  </xdr:twoCellAnchor>
  <xdr:twoCellAnchor>
    <xdr:from>
      <xdr:col>13</xdr:col>
      <xdr:colOff>38100</xdr:colOff>
      <xdr:row>26</xdr:row>
      <xdr:rowOff>169542</xdr:rowOff>
    </xdr:from>
    <xdr:to>
      <xdr:col>15</xdr:col>
      <xdr:colOff>571500</xdr:colOff>
      <xdr:row>28</xdr:row>
      <xdr:rowOff>150492</xdr:rowOff>
    </xdr:to>
    <xdr:sp macro="[0]!Mac8_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582275" y="5351142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Mac8 Find Formulas</a:t>
          </a:r>
        </a:p>
      </xdr:txBody>
    </xdr:sp>
    <xdr:clientData/>
  </xdr:twoCellAnchor>
  <xdr:twoCellAnchor>
    <xdr:from>
      <xdr:col>13</xdr:col>
      <xdr:colOff>38100</xdr:colOff>
      <xdr:row>29</xdr:row>
      <xdr:rowOff>170494</xdr:rowOff>
    </xdr:from>
    <xdr:to>
      <xdr:col>15</xdr:col>
      <xdr:colOff>571500</xdr:colOff>
      <xdr:row>31</xdr:row>
      <xdr:rowOff>151444</xdr:rowOff>
    </xdr:to>
    <xdr:sp macro="[0]!Mac9_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582275" y="5923594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Mac9 Formulas to Values</a:t>
          </a:r>
        </a:p>
      </xdr:txBody>
    </xdr:sp>
    <xdr:clientData/>
  </xdr:twoCellAnchor>
  <xdr:twoCellAnchor>
    <xdr:from>
      <xdr:col>13</xdr:col>
      <xdr:colOff>38100</xdr:colOff>
      <xdr:row>32</xdr:row>
      <xdr:rowOff>171450</xdr:rowOff>
    </xdr:from>
    <xdr:to>
      <xdr:col>15</xdr:col>
      <xdr:colOff>571500</xdr:colOff>
      <xdr:row>34</xdr:row>
      <xdr:rowOff>152400</xdr:rowOff>
    </xdr:to>
    <xdr:sp macro="[0]!Mac10_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0582275" y="6496050"/>
          <a:ext cx="1752600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Mac 10 Add Total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12</xdr:col>
          <xdr:colOff>638175</xdr:colOff>
          <xdr:row>6</xdr:row>
          <xdr:rowOff>361950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12</xdr:col>
          <xdr:colOff>628650</xdr:colOff>
          <xdr:row>8</xdr:row>
          <xdr:rowOff>0</xdr:rowOff>
        </xdr:to>
        <xdr:sp macro="" textlink="">
          <xdr:nvSpPr>
            <xdr:cNvPr id="3075" name="Group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123825</xdr:rowOff>
        </xdr:from>
        <xdr:to>
          <xdr:col>9</xdr:col>
          <xdr:colOff>323850</xdr:colOff>
          <xdr:row>7</xdr:row>
          <xdr:rowOff>361950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Domestic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7</xdr:row>
          <xdr:rowOff>123825</xdr:rowOff>
        </xdr:from>
        <xdr:to>
          <xdr:col>11</xdr:col>
          <xdr:colOff>133350</xdr:colOff>
          <xdr:row>7</xdr:row>
          <xdr:rowOff>361950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International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7</xdr:row>
          <xdr:rowOff>123825</xdr:rowOff>
        </xdr:from>
        <xdr:to>
          <xdr:col>12</xdr:col>
          <xdr:colOff>552450</xdr:colOff>
          <xdr:row>7</xdr:row>
          <xdr:rowOff>361950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 Resident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9525</xdr:rowOff>
        </xdr:from>
        <xdr:to>
          <xdr:col>13</xdr:col>
          <xdr:colOff>9525</xdr:colOff>
          <xdr:row>10</xdr:row>
          <xdr:rowOff>0</xdr:rowOff>
        </xdr:to>
        <xdr:sp macro="" textlink="">
          <xdr:nvSpPr>
            <xdr:cNvPr id="3079" name="Group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9</xdr:row>
          <xdr:rowOff>133350</xdr:rowOff>
        </xdr:from>
        <xdr:to>
          <xdr:col>8</xdr:col>
          <xdr:colOff>371475</xdr:colOff>
          <xdr:row>9</xdr:row>
          <xdr:rowOff>371475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&lt;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9</xdr:row>
          <xdr:rowOff>123825</xdr:rowOff>
        </xdr:from>
        <xdr:to>
          <xdr:col>9</xdr:col>
          <xdr:colOff>457200</xdr:colOff>
          <xdr:row>10</xdr:row>
          <xdr:rowOff>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2 - 2.49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9</xdr:row>
          <xdr:rowOff>133350</xdr:rowOff>
        </xdr:from>
        <xdr:to>
          <xdr:col>10</xdr:col>
          <xdr:colOff>571500</xdr:colOff>
          <xdr:row>9</xdr:row>
          <xdr:rowOff>371475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2.5 - 2.99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9</xdr:row>
          <xdr:rowOff>133350</xdr:rowOff>
        </xdr:from>
        <xdr:to>
          <xdr:col>11</xdr:col>
          <xdr:colOff>628650</xdr:colOff>
          <xdr:row>9</xdr:row>
          <xdr:rowOff>371475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3 - 3.49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9</xdr:row>
          <xdr:rowOff>133350</xdr:rowOff>
        </xdr:from>
        <xdr:to>
          <xdr:col>12</xdr:col>
          <xdr:colOff>504825</xdr:colOff>
          <xdr:row>9</xdr:row>
          <xdr:rowOff>371475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3.5 - 4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33338</xdr:colOff>
      <xdr:row>11</xdr:row>
      <xdr:rowOff>157162</xdr:rowOff>
    </xdr:from>
    <xdr:to>
      <xdr:col>11</xdr:col>
      <xdr:colOff>400050</xdr:colOff>
      <xdr:row>14</xdr:row>
      <xdr:rowOff>123825</xdr:rowOff>
    </xdr:to>
    <xdr:sp macro="[0]!AddScholarship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67238" y="3771900"/>
          <a:ext cx="2957512" cy="528638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to Request Form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oby Manning" id="{3FBE85D0-0050-4395-A843-ED44DC8C14D8}" userId="S::kobyjamesmanning@usf.edu::e58386b3-45d6-4e32-b24f-54050dc8d848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3" dT="2023-04-16T02:59:50.90" personId="{3FBE85D0-0050-4395-A843-ED44DC8C14D8}" id="{93C14D44-06F1-4C22-9617-58376560A53D}">
    <text>=RANDBETWEEN(1,3)+RAND()</text>
  </threadedComment>
  <threadedComment ref="G3" dT="2023-04-16T02:59:59.36" personId="{3FBE85D0-0050-4395-A843-ED44DC8C14D8}" id="{9859E32F-B941-4BB3-8F71-4570CF5703E9}">
    <text>=ROUND(RANDBETWEEN(100,8000),-2)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" dT="2023-04-16T02:59:50.90" personId="{3FBE85D0-0050-4395-A843-ED44DC8C14D8}" id="{79E5AAC6-4C4A-4706-9BB5-385A83B51AE1}">
    <text>=RANDBETWEEN(1,3)+RAND()</text>
  </threadedComment>
  <threadedComment ref="G1" dT="2023-04-16T02:59:59.36" personId="{3FBE85D0-0050-4395-A843-ED44DC8C14D8}" id="{82F4440A-B5B7-4AD9-9E6E-2521C4556527}">
    <text>=ROUND(RANDBETWEEN(100,8000),-2)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0FFEE-860E-4DDB-A49C-597F4AD8A595}">
  <sheetPr codeName="Sheet1"/>
  <dimension ref="A1:O44"/>
  <sheetViews>
    <sheetView tabSelected="1" workbookViewId="0">
      <selection activeCell="K22" sqref="K22"/>
    </sheetView>
  </sheetViews>
  <sheetFormatPr defaultRowHeight="15" x14ac:dyDescent="0.25"/>
  <cols>
    <col min="1" max="1" width="18.28515625" bestFit="1" customWidth="1"/>
    <col min="2" max="2" width="14.85546875" bestFit="1" customWidth="1"/>
    <col min="3" max="3" width="23.140625" bestFit="1" customWidth="1"/>
    <col min="4" max="4" width="12.5703125" bestFit="1" customWidth="1"/>
    <col min="5" max="5" width="11.140625" customWidth="1"/>
    <col min="7" max="7" width="13" customWidth="1"/>
    <col min="8" max="8" width="11" customWidth="1"/>
    <col min="9" max="9" width="10.85546875" customWidth="1"/>
    <col min="10" max="10" width="17.140625" customWidth="1"/>
  </cols>
  <sheetData>
    <row r="1" spans="1:15" x14ac:dyDescent="0.25">
      <c r="A1" t="s">
        <v>98</v>
      </c>
    </row>
    <row r="2" spans="1:15" x14ac:dyDescent="0.25">
      <c r="A2" s="10">
        <f ca="1">NOW()</f>
        <v>45419.965832870374</v>
      </c>
    </row>
    <row r="3" spans="1:15" ht="33" customHeight="1" x14ac:dyDescent="0.25">
      <c r="A3" t="s">
        <v>0</v>
      </c>
      <c r="B3" s="3" t="s">
        <v>1</v>
      </c>
      <c r="C3" t="s">
        <v>2</v>
      </c>
      <c r="D3" t="s">
        <v>3</v>
      </c>
      <c r="E3" s="4" t="s">
        <v>4</v>
      </c>
      <c r="F3" s="5" t="s">
        <v>5</v>
      </c>
      <c r="G3" s="2" t="s">
        <v>6</v>
      </c>
      <c r="H3" s="1" t="s">
        <v>7</v>
      </c>
      <c r="I3" s="2" t="s">
        <v>8</v>
      </c>
      <c r="J3" s="4" t="s">
        <v>97</v>
      </c>
      <c r="K3" s="7">
        <v>0.04</v>
      </c>
    </row>
    <row r="4" spans="1:15" x14ac:dyDescent="0.25">
      <c r="A4" t="s">
        <v>50</v>
      </c>
      <c r="B4" t="s">
        <v>49</v>
      </c>
      <c r="C4" t="s">
        <v>91</v>
      </c>
      <c r="D4" t="s">
        <v>95</v>
      </c>
      <c r="E4">
        <v>1</v>
      </c>
      <c r="F4" s="6">
        <v>1.8873158160166539</v>
      </c>
      <c r="G4" s="9">
        <v>4600</v>
      </c>
      <c r="H4" s="8" cm="1">
        <f t="array" ref="H4">update(F4,G4,$K$3)</f>
        <v>347.26611014706435</v>
      </c>
      <c r="I4" s="8" cm="1">
        <f t="array" ref="I4">NEWTOTAL(G4,H4)</f>
        <v>4947.2660999999998</v>
      </c>
    </row>
    <row r="5" spans="1:15" x14ac:dyDescent="0.25">
      <c r="A5" t="s">
        <v>28</v>
      </c>
      <c r="B5" t="s">
        <v>27</v>
      </c>
      <c r="C5" t="s">
        <v>90</v>
      </c>
      <c r="D5" t="s">
        <v>94</v>
      </c>
      <c r="E5">
        <v>8</v>
      </c>
      <c r="F5" s="6">
        <v>3.4838389958064115</v>
      </c>
      <c r="G5" s="9">
        <v>300</v>
      </c>
      <c r="H5" s="8" cm="1">
        <f t="array" ref="H5">update(F5,G5,$K$3)</f>
        <v>41.806067949676937</v>
      </c>
      <c r="I5" s="8" cm="1">
        <f t="array" ref="I5">NEWTOTAL(G5,H5)</f>
        <v>341.80610000000001</v>
      </c>
    </row>
    <row r="6" spans="1:15" x14ac:dyDescent="0.25">
      <c r="A6" t="s">
        <v>84</v>
      </c>
      <c r="B6" t="s">
        <v>83</v>
      </c>
      <c r="C6" t="s">
        <v>92</v>
      </c>
      <c r="D6" t="s">
        <v>94</v>
      </c>
      <c r="E6">
        <v>7</v>
      </c>
      <c r="F6" s="6">
        <v>2.8186723322902862</v>
      </c>
      <c r="G6" s="9">
        <v>7700</v>
      </c>
      <c r="H6" s="8" cm="1">
        <f t="array" ref="H6">update(F6,G6,$K$3)</f>
        <v>868.15107834540822</v>
      </c>
      <c r="I6" s="8" cm="1">
        <f t="array" ref="I6">NEWTOTAL(G6,H6)</f>
        <v>8568.1510999999991</v>
      </c>
    </row>
    <row r="7" spans="1:15" x14ac:dyDescent="0.25">
      <c r="A7" t="s">
        <v>14</v>
      </c>
      <c r="B7" t="s">
        <v>13</v>
      </c>
      <c r="C7" t="s">
        <v>91</v>
      </c>
      <c r="D7" t="s">
        <v>96</v>
      </c>
      <c r="E7">
        <v>8</v>
      </c>
      <c r="F7" s="6">
        <v>2.6216345785431141</v>
      </c>
      <c r="G7" s="9">
        <v>5700</v>
      </c>
      <c r="H7" s="8" cm="1">
        <f t="array" ref="H7">update(F7,G7,$K$3)</f>
        <v>597.73268390783005</v>
      </c>
      <c r="I7" s="8" cm="1">
        <f t="array" ref="I7">NEWTOTAL(G7,H7)</f>
        <v>6297.7326999999996</v>
      </c>
    </row>
    <row r="8" spans="1:15" x14ac:dyDescent="0.25">
      <c r="A8" t="s">
        <v>32</v>
      </c>
      <c r="B8" t="s">
        <v>31</v>
      </c>
      <c r="C8" t="s">
        <v>93</v>
      </c>
      <c r="D8" t="s">
        <v>94</v>
      </c>
      <c r="E8">
        <v>3</v>
      </c>
      <c r="F8" s="6">
        <v>2.6927074403478479</v>
      </c>
      <c r="G8" s="9">
        <v>2900</v>
      </c>
      <c r="H8" s="8" cm="1">
        <f t="array" ref="H8">update(F8,G8,$K$3)</f>
        <v>312.35406308035039</v>
      </c>
      <c r="I8" s="8" cm="1">
        <f t="array" ref="I8">NEWTOTAL(G8,H8)</f>
        <v>3212.3541</v>
      </c>
    </row>
    <row r="9" spans="1:15" x14ac:dyDescent="0.25">
      <c r="A9" t="s">
        <v>12</v>
      </c>
      <c r="B9" t="s">
        <v>11</v>
      </c>
      <c r="C9" t="s">
        <v>90</v>
      </c>
      <c r="D9" t="s">
        <v>95</v>
      </c>
      <c r="E9">
        <v>3</v>
      </c>
      <c r="F9" s="6">
        <v>1.6700108404994281</v>
      </c>
      <c r="G9" s="9">
        <v>4100</v>
      </c>
      <c r="H9" s="8" cm="1">
        <f t="array" ref="H9">update(F9,G9,$K$3)</f>
        <v>273.88177784190617</v>
      </c>
      <c r="I9" s="8" cm="1">
        <f t="array" ref="I9">NEWTOTAL(G9,H9)</f>
        <v>4373.8818000000001</v>
      </c>
      <c r="M9" s="11"/>
      <c r="N9" s="11"/>
      <c r="O9" s="11"/>
    </row>
    <row r="10" spans="1:15" x14ac:dyDescent="0.25">
      <c r="A10" s="10" t="s">
        <v>44</v>
      </c>
      <c r="B10" t="s">
        <v>43</v>
      </c>
      <c r="C10" t="s">
        <v>93</v>
      </c>
      <c r="D10" t="s">
        <v>94</v>
      </c>
      <c r="E10">
        <v>3</v>
      </c>
      <c r="F10" s="6">
        <v>3.1866854002436837</v>
      </c>
      <c r="G10" s="9">
        <v>2400</v>
      </c>
      <c r="H10" s="8" cm="1">
        <f t="array" ref="H10">update(F10,G10,$K$3)</f>
        <v>305.92179842339362</v>
      </c>
      <c r="I10" s="8" cm="1">
        <f t="array" ref="I10">NEWTOTAL(G10,H10)</f>
        <v>2705.9218000000001</v>
      </c>
      <c r="M10" s="11"/>
      <c r="N10" s="11"/>
      <c r="O10" s="11"/>
    </row>
    <row r="11" spans="1:15" x14ac:dyDescent="0.25">
      <c r="A11" t="s">
        <v>72</v>
      </c>
      <c r="B11" t="s">
        <v>71</v>
      </c>
      <c r="C11" t="s">
        <v>92</v>
      </c>
      <c r="D11" t="s">
        <v>95</v>
      </c>
      <c r="E11">
        <v>6</v>
      </c>
      <c r="F11" s="6">
        <v>3.1952574452375799</v>
      </c>
      <c r="G11" s="9">
        <v>4600</v>
      </c>
      <c r="H11" s="8" cm="1">
        <f t="array" ref="H11">update(F11,G11,$K$3)</f>
        <v>587.92736992371476</v>
      </c>
      <c r="I11" s="8" cm="1">
        <f t="array" ref="I11">NEWTOTAL(G11,H11)</f>
        <v>5187.9273999999996</v>
      </c>
      <c r="M11" s="11"/>
      <c r="N11" s="11"/>
      <c r="O11" s="11"/>
    </row>
    <row r="12" spans="1:15" x14ac:dyDescent="0.25">
      <c r="A12" t="s">
        <v>52</v>
      </c>
      <c r="B12" t="s">
        <v>51</v>
      </c>
      <c r="C12" t="s">
        <v>90</v>
      </c>
      <c r="D12" t="s">
        <v>96</v>
      </c>
      <c r="E12">
        <v>6</v>
      </c>
      <c r="F12" s="6">
        <v>2.3592757705214051</v>
      </c>
      <c r="G12" s="9">
        <v>1500</v>
      </c>
      <c r="H12" s="8" cm="1">
        <f t="array" ref="H12">update(F12,G12,$K$3)</f>
        <v>141.5565462312843</v>
      </c>
      <c r="I12" s="8" cm="1">
        <f t="array" ref="I12">NEWTOTAL(G12,H12)</f>
        <v>1641.5564999999999</v>
      </c>
      <c r="M12" s="11"/>
      <c r="N12" s="11"/>
      <c r="O12" s="11"/>
    </row>
    <row r="13" spans="1:15" x14ac:dyDescent="0.25">
      <c r="A13" t="s">
        <v>38</v>
      </c>
      <c r="B13" t="s">
        <v>37</v>
      </c>
      <c r="C13" t="s">
        <v>92</v>
      </c>
      <c r="D13" t="s">
        <v>96</v>
      </c>
      <c r="E13">
        <v>3</v>
      </c>
      <c r="F13" s="6">
        <v>2.1750335476108136</v>
      </c>
      <c r="G13" s="9">
        <v>3900</v>
      </c>
      <c r="H13" s="8" cm="1">
        <f t="array" ref="H13">update(F13,G13,$K$3)</f>
        <v>339.30523342728696</v>
      </c>
      <c r="I13" s="8" cm="1">
        <f t="array" ref="I13">NEWTOTAL(G13,H13)</f>
        <v>4239.3051999999998</v>
      </c>
      <c r="M13" s="11"/>
      <c r="N13" s="11"/>
      <c r="O13" s="11"/>
    </row>
    <row r="14" spans="1:15" x14ac:dyDescent="0.25">
      <c r="A14" t="s">
        <v>48</v>
      </c>
      <c r="B14" t="s">
        <v>47</v>
      </c>
      <c r="C14" t="s">
        <v>92</v>
      </c>
      <c r="D14" t="s">
        <v>95</v>
      </c>
      <c r="E14">
        <v>5</v>
      </c>
      <c r="F14" s="6">
        <v>2.0278694344829877</v>
      </c>
      <c r="G14" s="9">
        <v>3100</v>
      </c>
      <c r="H14" s="8" cm="1">
        <f t="array" ref="H14">update(F14,G14,$K$3)</f>
        <v>251.45580987589048</v>
      </c>
      <c r="I14" s="8" cm="1">
        <f t="array" ref="I14">NEWTOTAL(G14,H14)</f>
        <v>3351.4558000000002</v>
      </c>
    </row>
    <row r="15" spans="1:15" x14ac:dyDescent="0.25">
      <c r="A15" t="s">
        <v>26</v>
      </c>
      <c r="B15" t="s">
        <v>25</v>
      </c>
      <c r="C15" t="s">
        <v>93</v>
      </c>
      <c r="D15" t="s">
        <v>94</v>
      </c>
      <c r="E15">
        <v>4</v>
      </c>
      <c r="F15" s="6">
        <v>1.5053970752644059</v>
      </c>
      <c r="G15" s="9">
        <v>3300</v>
      </c>
      <c r="H15" s="8" cm="1">
        <f t="array" ref="H15">update(F15,G15,$K$3)</f>
        <v>198.7124139349016</v>
      </c>
      <c r="I15" s="8" cm="1">
        <f t="array" ref="I15">NEWTOTAL(G15,H15)</f>
        <v>3498.7123999999999</v>
      </c>
    </row>
    <row r="16" spans="1:15" x14ac:dyDescent="0.25">
      <c r="A16" t="s">
        <v>42</v>
      </c>
      <c r="B16" t="s">
        <v>41</v>
      </c>
      <c r="C16" t="s">
        <v>90</v>
      </c>
      <c r="D16" t="s">
        <v>96</v>
      </c>
      <c r="E16">
        <v>3</v>
      </c>
      <c r="F16" s="6">
        <v>1.6425157017865759</v>
      </c>
      <c r="G16" s="9">
        <v>4100</v>
      </c>
      <c r="H16" s="8" cm="1">
        <f t="array" ref="H16">update(F16,G16,$K$3)</f>
        <v>269.37257509299843</v>
      </c>
      <c r="I16" s="8" cm="1">
        <f t="array" ref="I16">NEWTOTAL(G16,H16)</f>
        <v>4369.3725999999997</v>
      </c>
    </row>
    <row r="17" spans="1:9" x14ac:dyDescent="0.25">
      <c r="A17" t="s">
        <v>18</v>
      </c>
      <c r="B17" t="s">
        <v>17</v>
      </c>
      <c r="C17" t="s">
        <v>92</v>
      </c>
      <c r="D17" t="s">
        <v>96</v>
      </c>
      <c r="E17">
        <v>8</v>
      </c>
      <c r="F17" s="6">
        <v>1.7283136556391154</v>
      </c>
      <c r="G17" s="9">
        <v>4800</v>
      </c>
      <c r="H17" s="8" cm="1">
        <f t="array" ref="H17">update(F17,G17,$K$3)</f>
        <v>331.83622188271016</v>
      </c>
      <c r="I17" s="8" cm="1">
        <f t="array" ref="I17">NEWTOTAL(G17,H17)</f>
        <v>5131.8361999999997</v>
      </c>
    </row>
    <row r="18" spans="1:9" x14ac:dyDescent="0.25">
      <c r="A18" t="s">
        <v>70</v>
      </c>
      <c r="B18" t="s">
        <v>69</v>
      </c>
      <c r="C18" t="s">
        <v>90</v>
      </c>
      <c r="D18" t="s">
        <v>96</v>
      </c>
      <c r="E18">
        <v>6</v>
      </c>
      <c r="F18" s="6">
        <v>2.6579789678802315</v>
      </c>
      <c r="G18" s="9">
        <v>5900</v>
      </c>
      <c r="H18" s="8" cm="1">
        <f t="array" ref="H18">update(F18,G18,$K$3)</f>
        <v>627.28303641973469</v>
      </c>
      <c r="I18" s="8" cm="1">
        <f t="array" ref="I18">NEWTOTAL(G18,H18)</f>
        <v>6527.2830000000004</v>
      </c>
    </row>
    <row r="19" spans="1:9" x14ac:dyDescent="0.25">
      <c r="A19" t="s">
        <v>34</v>
      </c>
      <c r="B19" t="s">
        <v>33</v>
      </c>
      <c r="C19" t="s">
        <v>89</v>
      </c>
      <c r="D19" t="s">
        <v>95</v>
      </c>
      <c r="E19">
        <v>4</v>
      </c>
      <c r="F19" s="6">
        <v>3.4797259864341097</v>
      </c>
      <c r="G19" s="9">
        <v>6600</v>
      </c>
      <c r="H19" s="8" cm="1">
        <f t="array" ref="H19">update(F19,G19,$K$3)</f>
        <v>918.64766041860491</v>
      </c>
      <c r="I19" s="8" cm="1">
        <f t="array" ref="I19">NEWTOTAL(G19,H19)</f>
        <v>7518.6477000000004</v>
      </c>
    </row>
    <row r="20" spans="1:9" x14ac:dyDescent="0.25">
      <c r="A20" t="s">
        <v>40</v>
      </c>
      <c r="B20" t="s">
        <v>39</v>
      </c>
      <c r="C20" t="s">
        <v>93</v>
      </c>
      <c r="D20" t="s">
        <v>95</v>
      </c>
      <c r="E20">
        <v>5</v>
      </c>
      <c r="F20" s="6">
        <v>1.714597937299531</v>
      </c>
      <c r="G20" s="9">
        <v>4100</v>
      </c>
      <c r="H20" s="8" cm="1">
        <f t="array" ref="H20">update(F20,G20,$K$3)</f>
        <v>281.19406171712308</v>
      </c>
      <c r="I20" s="8" cm="1">
        <f t="array" ref="I20">NEWTOTAL(G20,H20)</f>
        <v>4381.1940999999997</v>
      </c>
    </row>
    <row r="21" spans="1:9" x14ac:dyDescent="0.25">
      <c r="A21" t="s">
        <v>68</v>
      </c>
      <c r="B21" t="s">
        <v>67</v>
      </c>
      <c r="C21" t="s">
        <v>93</v>
      </c>
      <c r="D21" t="s">
        <v>95</v>
      </c>
      <c r="E21">
        <v>4</v>
      </c>
      <c r="F21" s="6">
        <v>1.4745874933142615</v>
      </c>
      <c r="G21" s="9">
        <v>3100</v>
      </c>
      <c r="H21" s="8" cm="1">
        <f t="array" ref="H21">update(F21,G21,$K$3)</f>
        <v>182.84884917096844</v>
      </c>
      <c r="I21" s="8" cm="1">
        <f t="array" ref="I21">NEWTOTAL(G21,H21)</f>
        <v>3282.8488000000002</v>
      </c>
    </row>
    <row r="22" spans="1:9" x14ac:dyDescent="0.25">
      <c r="A22" t="s">
        <v>58</v>
      </c>
      <c r="B22" t="s">
        <v>57</v>
      </c>
      <c r="C22" t="s">
        <v>90</v>
      </c>
      <c r="D22" t="s">
        <v>94</v>
      </c>
      <c r="E22">
        <v>7</v>
      </c>
      <c r="F22" s="6">
        <v>2.8937476406627956</v>
      </c>
      <c r="G22" s="9">
        <v>4300</v>
      </c>
      <c r="H22" s="8" cm="1">
        <f t="array" ref="H22">update(F22,G22,$K$3)</f>
        <v>497.72459419400082</v>
      </c>
      <c r="I22" s="8" cm="1">
        <f t="array" ref="I22">NEWTOTAL(G22,H22)</f>
        <v>4797.7245999999996</v>
      </c>
    </row>
    <row r="23" spans="1:9" x14ac:dyDescent="0.25">
      <c r="A23" t="s">
        <v>10</v>
      </c>
      <c r="B23" t="s">
        <v>9</v>
      </c>
      <c r="C23" t="s">
        <v>89</v>
      </c>
      <c r="D23" t="s">
        <v>94</v>
      </c>
      <c r="E23">
        <v>1</v>
      </c>
      <c r="F23" s="6">
        <v>1.2258906466375099</v>
      </c>
      <c r="G23" s="9">
        <v>3100</v>
      </c>
      <c r="H23" s="8" cm="1">
        <f t="array" ref="H23">update(F23,G23,$K$3)</f>
        <v>152.01044018305123</v>
      </c>
      <c r="I23" s="8" cm="1">
        <f t="array" ref="I23">NEWTOTAL(G23,H23)</f>
        <v>3252.0104000000001</v>
      </c>
    </row>
    <row r="24" spans="1:9" x14ac:dyDescent="0.25">
      <c r="A24" t="s">
        <v>46</v>
      </c>
      <c r="B24" t="s">
        <v>45</v>
      </c>
      <c r="C24" t="s">
        <v>90</v>
      </c>
      <c r="D24" t="s">
        <v>94</v>
      </c>
      <c r="E24">
        <v>8</v>
      </c>
      <c r="F24" s="6">
        <v>2.6541522762156933</v>
      </c>
      <c r="G24" s="9">
        <v>700</v>
      </c>
      <c r="H24" s="8" cm="1">
        <f t="array" ref="H24">update(F24,G24,$K$3)</f>
        <v>74.31626373403941</v>
      </c>
      <c r="I24" s="8" cm="1">
        <f t="array" ref="I24">NEWTOTAL(G24,H24)</f>
        <v>774.31629999999996</v>
      </c>
    </row>
    <row r="25" spans="1:9" x14ac:dyDescent="0.25">
      <c r="A25" t="s">
        <v>16</v>
      </c>
      <c r="B25" t="s">
        <v>15</v>
      </c>
      <c r="C25" t="s">
        <v>90</v>
      </c>
      <c r="D25" t="s">
        <v>95</v>
      </c>
      <c r="E25">
        <v>6</v>
      </c>
      <c r="F25" s="6">
        <v>3.2739227962675344</v>
      </c>
      <c r="G25" s="9">
        <v>4700</v>
      </c>
      <c r="H25" s="8" cm="1">
        <f t="array" ref="H25">update(F25,G25,$K$3)</f>
        <v>615.49748569829649</v>
      </c>
      <c r="I25" s="8" cm="1">
        <f t="array" ref="I25">NEWTOTAL(G25,H25)</f>
        <v>5315.4975000000004</v>
      </c>
    </row>
    <row r="26" spans="1:9" x14ac:dyDescent="0.25">
      <c r="A26" t="s">
        <v>24</v>
      </c>
      <c r="B26" t="s">
        <v>23</v>
      </c>
      <c r="C26" t="s">
        <v>92</v>
      </c>
      <c r="D26" t="s">
        <v>96</v>
      </c>
      <c r="E26">
        <v>5</v>
      </c>
      <c r="F26" s="6">
        <v>1.2322073693710105</v>
      </c>
      <c r="G26" s="9">
        <v>4600</v>
      </c>
      <c r="H26" s="8" cm="1">
        <f t="array" ref="H26">update(F26,G26,$K$3)</f>
        <v>226.72615596426593</v>
      </c>
      <c r="I26" s="8" cm="1">
        <f t="array" ref="I26">NEWTOTAL(G26,H26)</f>
        <v>4826.7262000000001</v>
      </c>
    </row>
    <row r="27" spans="1:9" x14ac:dyDescent="0.25">
      <c r="A27" t="s">
        <v>60</v>
      </c>
      <c r="B27" t="s">
        <v>59</v>
      </c>
      <c r="C27" t="s">
        <v>92</v>
      </c>
      <c r="D27" t="s">
        <v>94</v>
      </c>
      <c r="E27">
        <v>6</v>
      </c>
      <c r="F27" s="6">
        <v>3.2882477869132796</v>
      </c>
      <c r="G27" s="9">
        <v>7800</v>
      </c>
      <c r="H27" s="8" cm="1">
        <f t="array" ref="H27">update(F27,G27,$K$3)</f>
        <v>1025.9333095169434</v>
      </c>
      <c r="I27" s="8" cm="1">
        <f t="array" ref="I27">NEWTOTAL(G27,H27)</f>
        <v>8825.9333000000006</v>
      </c>
    </row>
    <row r="28" spans="1:9" x14ac:dyDescent="0.25">
      <c r="A28" t="s">
        <v>86</v>
      </c>
      <c r="B28" t="s">
        <v>85</v>
      </c>
      <c r="C28" t="s">
        <v>91</v>
      </c>
      <c r="D28" t="s">
        <v>95</v>
      </c>
      <c r="E28">
        <v>4</v>
      </c>
      <c r="F28" s="6">
        <v>3.8760419748757435</v>
      </c>
      <c r="G28" s="9">
        <v>3100</v>
      </c>
      <c r="H28" s="8" cm="1">
        <f t="array" ref="H28">update(F28,G28,$K$3)</f>
        <v>480.62920488459218</v>
      </c>
      <c r="I28" s="8" cm="1">
        <f t="array" ref="I28">NEWTOTAL(G28,H28)</f>
        <v>3580.6291999999999</v>
      </c>
    </row>
    <row r="29" spans="1:9" x14ac:dyDescent="0.25">
      <c r="A29" t="s">
        <v>22</v>
      </c>
      <c r="B29" t="s">
        <v>21</v>
      </c>
      <c r="C29" t="s">
        <v>90</v>
      </c>
      <c r="D29" t="s">
        <v>95</v>
      </c>
      <c r="E29">
        <v>4</v>
      </c>
      <c r="F29" s="6">
        <v>3.6668315923763792</v>
      </c>
      <c r="G29" s="9">
        <v>500</v>
      </c>
      <c r="H29" s="8" cm="1">
        <f t="array" ref="H29">update(F29,G29,$K$3)</f>
        <v>73.336631847527585</v>
      </c>
      <c r="I29" s="8" cm="1">
        <f t="array" ref="I29">NEWTOTAL(G29,H29)</f>
        <v>573.33659999999998</v>
      </c>
    </row>
    <row r="30" spans="1:9" x14ac:dyDescent="0.25">
      <c r="A30" t="s">
        <v>80</v>
      </c>
      <c r="B30" t="s">
        <v>79</v>
      </c>
      <c r="C30" t="s">
        <v>93</v>
      </c>
      <c r="D30" t="s">
        <v>95</v>
      </c>
      <c r="E30">
        <v>7</v>
      </c>
      <c r="F30" s="6">
        <v>3.1437011091561793</v>
      </c>
      <c r="G30" s="9">
        <v>6900</v>
      </c>
      <c r="H30" s="8" cm="1">
        <f t="array" ref="H30">update(F30,G30,$K$3)</f>
        <v>867.66150612710555</v>
      </c>
      <c r="I30" s="8" cm="1">
        <f t="array" ref="I30">NEWTOTAL(G30,H30)</f>
        <v>7767.6615000000002</v>
      </c>
    </row>
    <row r="31" spans="1:9" x14ac:dyDescent="0.25">
      <c r="A31" t="s">
        <v>66</v>
      </c>
      <c r="B31" t="s">
        <v>65</v>
      </c>
      <c r="C31" t="s">
        <v>92</v>
      </c>
      <c r="D31" t="s">
        <v>94</v>
      </c>
      <c r="E31">
        <v>8</v>
      </c>
      <c r="F31" s="6">
        <v>1.8494910096555921</v>
      </c>
      <c r="G31" s="9">
        <v>6000</v>
      </c>
      <c r="H31" s="8" cm="1">
        <f t="array" ref="H31">update(F31,G31,$K$3)</f>
        <v>443.87784231734207</v>
      </c>
      <c r="I31" s="8" cm="1">
        <f t="array" ref="I31">NEWTOTAL(G31,H31)</f>
        <v>6443.8778000000002</v>
      </c>
    </row>
    <row r="32" spans="1:9" x14ac:dyDescent="0.25">
      <c r="A32" t="s">
        <v>78</v>
      </c>
      <c r="B32" t="s">
        <v>77</v>
      </c>
      <c r="C32" t="s">
        <v>90</v>
      </c>
      <c r="D32" t="s">
        <v>95</v>
      </c>
      <c r="E32">
        <v>1</v>
      </c>
      <c r="F32" s="6">
        <v>1.1754080588954321</v>
      </c>
      <c r="G32" s="9">
        <v>1500</v>
      </c>
      <c r="H32" s="8" cm="1">
        <f t="array" ref="H32">update(F32,G32,$K$3)</f>
        <v>70.524483533725927</v>
      </c>
      <c r="I32" s="8" cm="1">
        <f t="array" ref="I32">NEWTOTAL(G32,H32)</f>
        <v>1570.5245</v>
      </c>
    </row>
    <row r="33" spans="1:9" x14ac:dyDescent="0.25">
      <c r="A33" t="s">
        <v>56</v>
      </c>
      <c r="B33" t="s">
        <v>55</v>
      </c>
      <c r="C33" t="s">
        <v>93</v>
      </c>
      <c r="D33" t="s">
        <v>94</v>
      </c>
      <c r="E33">
        <v>1</v>
      </c>
      <c r="F33" s="6">
        <v>2.9315300676602423</v>
      </c>
      <c r="G33" s="9">
        <v>3700</v>
      </c>
      <c r="H33" s="8" cm="1">
        <f t="array" ref="H33">update(F33,G33,$K$3)</f>
        <v>433.86645001371591</v>
      </c>
      <c r="I33" s="8" cm="1">
        <f t="array" ref="I33">NEWTOTAL(G33,H33)</f>
        <v>4133.8665000000001</v>
      </c>
    </row>
    <row r="34" spans="1:9" x14ac:dyDescent="0.25">
      <c r="A34" t="s">
        <v>82</v>
      </c>
      <c r="B34" t="s">
        <v>81</v>
      </c>
      <c r="C34" t="s">
        <v>90</v>
      </c>
      <c r="D34" t="s">
        <v>96</v>
      </c>
      <c r="E34">
        <v>5</v>
      </c>
      <c r="F34" s="6">
        <v>2.370459974030116</v>
      </c>
      <c r="G34" s="9">
        <v>200</v>
      </c>
      <c r="H34" s="8" cm="1">
        <f t="array" ref="H34">update(F34,G34,$K$3)</f>
        <v>18.963679792240928</v>
      </c>
      <c r="I34" s="8" cm="1">
        <f t="array" ref="I34">NEWTOTAL(G34,H34)</f>
        <v>218.96369999999999</v>
      </c>
    </row>
    <row r="35" spans="1:9" x14ac:dyDescent="0.25">
      <c r="A35" t="s">
        <v>62</v>
      </c>
      <c r="B35" t="s">
        <v>61</v>
      </c>
      <c r="C35" t="s">
        <v>93</v>
      </c>
      <c r="D35" t="s">
        <v>95</v>
      </c>
      <c r="E35">
        <v>4</v>
      </c>
      <c r="F35" s="6">
        <v>2.9224478674252028</v>
      </c>
      <c r="G35" s="9">
        <v>5700</v>
      </c>
      <c r="H35" s="8" cm="1">
        <f t="array" ref="H35">update(F35,G35,$K$3)</f>
        <v>666.31811377294628</v>
      </c>
      <c r="I35" s="8" cm="1">
        <f t="array" ref="I35">NEWTOTAL(G35,H35)</f>
        <v>6366.3181000000004</v>
      </c>
    </row>
    <row r="36" spans="1:9" x14ac:dyDescent="0.25">
      <c r="A36" t="s">
        <v>36</v>
      </c>
      <c r="B36" t="s">
        <v>35</v>
      </c>
      <c r="C36" t="s">
        <v>90</v>
      </c>
      <c r="D36" t="s">
        <v>96</v>
      </c>
      <c r="E36">
        <v>4</v>
      </c>
      <c r="F36" s="6">
        <v>1.5705908907582731</v>
      </c>
      <c r="G36" s="9">
        <v>3500</v>
      </c>
      <c r="H36" s="8" cm="1">
        <f t="array" ref="H36">update(F36,G36,$K$3)</f>
        <v>219.88272470615823</v>
      </c>
      <c r="I36" s="8" cm="1">
        <f t="array" ref="I36">NEWTOTAL(G36,H36)</f>
        <v>3719.8827000000001</v>
      </c>
    </row>
    <row r="37" spans="1:9" x14ac:dyDescent="0.25">
      <c r="A37" t="s">
        <v>64</v>
      </c>
      <c r="B37" t="s">
        <v>63</v>
      </c>
      <c r="C37" t="s">
        <v>90</v>
      </c>
      <c r="D37" t="s">
        <v>96</v>
      </c>
      <c r="E37">
        <v>5</v>
      </c>
      <c r="F37" s="6">
        <v>1.7046298456854778</v>
      </c>
      <c r="G37" s="9">
        <v>7200</v>
      </c>
      <c r="H37" s="8" cm="1">
        <f t="array" ref="H37">update(F37,G37,$K$3)</f>
        <v>490.93339555741761</v>
      </c>
      <c r="I37" s="8" cm="1">
        <f t="array" ref="I37">NEWTOTAL(G37,H37)</f>
        <v>7690.9333999999999</v>
      </c>
    </row>
    <row r="38" spans="1:9" x14ac:dyDescent="0.25">
      <c r="A38" t="s">
        <v>54</v>
      </c>
      <c r="B38" t="s">
        <v>53</v>
      </c>
      <c r="C38" t="s">
        <v>92</v>
      </c>
      <c r="D38" t="s">
        <v>96</v>
      </c>
      <c r="E38">
        <v>1</v>
      </c>
      <c r="F38" s="6">
        <v>2.855914560285739</v>
      </c>
      <c r="G38" s="9">
        <v>7200</v>
      </c>
      <c r="H38" s="8" cm="1">
        <f t="array" ref="H38">update(F38,G38,$K$3)</f>
        <v>822.50339336229285</v>
      </c>
      <c r="I38" s="8" cm="1">
        <f t="array" ref="I38">NEWTOTAL(G38,H38)</f>
        <v>8022.5033999999996</v>
      </c>
    </row>
    <row r="39" spans="1:9" x14ac:dyDescent="0.25">
      <c r="A39" t="s">
        <v>20</v>
      </c>
      <c r="B39" t="s">
        <v>19</v>
      </c>
      <c r="C39" t="s">
        <v>93</v>
      </c>
      <c r="D39" t="s">
        <v>95</v>
      </c>
      <c r="E39">
        <v>6</v>
      </c>
      <c r="F39" s="6">
        <v>1.7145670968597442</v>
      </c>
      <c r="G39" s="9">
        <v>2700</v>
      </c>
      <c r="H39" s="8" cm="1">
        <f t="array" ref="H39">update(F39,G39,$K$3)</f>
        <v>185.1732464608524</v>
      </c>
      <c r="I39" s="8" cm="1">
        <f t="array" ref="I39">NEWTOTAL(G39,H39)</f>
        <v>2885.1732000000002</v>
      </c>
    </row>
    <row r="40" spans="1:9" x14ac:dyDescent="0.25">
      <c r="A40" t="s">
        <v>76</v>
      </c>
      <c r="B40" t="s">
        <v>75</v>
      </c>
      <c r="C40" t="s">
        <v>93</v>
      </c>
      <c r="D40" t="s">
        <v>94</v>
      </c>
      <c r="E40">
        <v>7</v>
      </c>
      <c r="F40" s="6">
        <v>3.7000591717079732</v>
      </c>
      <c r="G40" s="9">
        <v>5100</v>
      </c>
      <c r="H40" s="8" cm="1">
        <f t="array" ref="H40">update(F40,G40,$K$3)</f>
        <v>754.81207102842654</v>
      </c>
      <c r="I40" s="8" cm="1">
        <f t="array" ref="I40">NEWTOTAL(G40,H40)</f>
        <v>5854.8121000000001</v>
      </c>
    </row>
    <row r="41" spans="1:9" x14ac:dyDescent="0.25">
      <c r="A41" t="s">
        <v>74</v>
      </c>
      <c r="B41" t="s">
        <v>73</v>
      </c>
      <c r="C41" t="s">
        <v>92</v>
      </c>
      <c r="D41" t="s">
        <v>94</v>
      </c>
      <c r="E41">
        <v>4</v>
      </c>
      <c r="F41" s="6">
        <v>3.3285876324896662</v>
      </c>
      <c r="G41" s="9">
        <v>1100</v>
      </c>
      <c r="H41" s="8" cm="1">
        <f t="array" ref="H41">update(F41,G41,$K$3)</f>
        <v>146.45785582954531</v>
      </c>
      <c r="I41" s="8" cm="1">
        <f t="array" ref="I41">NEWTOTAL(G41,H41)</f>
        <v>1246.4579000000001</v>
      </c>
    </row>
    <row r="42" spans="1:9" x14ac:dyDescent="0.25">
      <c r="A42" t="s">
        <v>30</v>
      </c>
      <c r="B42" t="s">
        <v>29</v>
      </c>
      <c r="C42" t="s">
        <v>92</v>
      </c>
      <c r="D42" t="s">
        <v>95</v>
      </c>
      <c r="E42">
        <v>5</v>
      </c>
      <c r="F42" s="6">
        <v>2.1771012128629108</v>
      </c>
      <c r="G42" s="9">
        <v>6800</v>
      </c>
      <c r="H42" s="8" cm="1">
        <f t="array" ref="H42">update(F42,G42,$K$3)</f>
        <v>592.17152989871181</v>
      </c>
      <c r="I42" s="8" cm="1">
        <f t="array" ref="I42">NEWTOTAL(G42,H42)</f>
        <v>7392.1715000000004</v>
      </c>
    </row>
    <row r="43" spans="1:9" x14ac:dyDescent="0.25">
      <c r="A43" t="s">
        <v>88</v>
      </c>
      <c r="B43" t="s">
        <v>87</v>
      </c>
      <c r="C43" t="s">
        <v>90</v>
      </c>
      <c r="D43" t="s">
        <v>96</v>
      </c>
      <c r="E43">
        <v>3</v>
      </c>
      <c r="F43" s="6">
        <v>2.8215613844000043</v>
      </c>
      <c r="G43" s="9">
        <v>5000</v>
      </c>
      <c r="H43" s="8" cm="1">
        <f t="array" ref="H43">update(F43,G43,$K$3)</f>
        <v>564.31227688000092</v>
      </c>
      <c r="I43" s="8" cm="1">
        <f t="array" ref="I43">NEWTOTAL(G43,H43)</f>
        <v>5564.3122999999996</v>
      </c>
    </row>
    <row r="44" spans="1:9" x14ac:dyDescent="0.25">
      <c r="G44" s="9">
        <f>SUM(G4:G26)</f>
        <v>90100</v>
      </c>
      <c r="H44" s="8">
        <f>SUM(H4:H26)</f>
        <v>8443.5282975645023</v>
      </c>
      <c r="I44" s="8">
        <f>SUM(I4:I26)</f>
        <v>98543.52840000001</v>
      </c>
    </row>
  </sheetData>
  <sortState xmlns:xlrd2="http://schemas.microsoft.com/office/spreadsheetml/2017/richdata2" ref="A4:I43">
    <sortCondition ref="D4:D43"/>
    <sortCondition ref="A4:A43"/>
  </sortState>
  <conditionalFormatting sqref="D4:D43">
    <cfRule type="cellIs" dxfId="1" priority="1" operator="equal">
      <formula>"FL Resident"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73915-4B22-4473-B79C-CE6EDAAE2DCA}">
  <sheetPr codeName="Sheet2"/>
  <dimension ref="A1:K41"/>
  <sheetViews>
    <sheetView topLeftCell="A23" workbookViewId="0">
      <selection activeCell="A2" sqref="A2:I41"/>
    </sheetView>
  </sheetViews>
  <sheetFormatPr defaultRowHeight="15" x14ac:dyDescent="0.25"/>
  <cols>
    <col min="1" max="1" width="12.140625" bestFit="1" customWidth="1"/>
    <col min="2" max="2" width="10.5703125" bestFit="1" customWidth="1"/>
    <col min="3" max="3" width="23.140625" bestFit="1" customWidth="1"/>
    <col min="4" max="4" width="12.5703125" bestFit="1" customWidth="1"/>
    <col min="5" max="5" width="11.140625" customWidth="1"/>
    <col min="7" max="7" width="13" customWidth="1"/>
    <col min="8" max="8" width="11" customWidth="1"/>
    <col min="9" max="9" width="10.85546875" customWidth="1"/>
    <col min="10" max="10" width="17.140625" customWidth="1"/>
  </cols>
  <sheetData>
    <row r="1" spans="1:11" ht="33" customHeight="1" x14ac:dyDescent="0.25">
      <c r="A1" t="s">
        <v>0</v>
      </c>
      <c r="B1" s="3" t="s">
        <v>1</v>
      </c>
      <c r="C1" t="s">
        <v>2</v>
      </c>
      <c r="D1" t="s">
        <v>3</v>
      </c>
      <c r="E1" s="4" t="s">
        <v>4</v>
      </c>
      <c r="F1" s="5" t="s">
        <v>5</v>
      </c>
      <c r="G1" s="2" t="s">
        <v>6</v>
      </c>
      <c r="H1" s="1" t="s">
        <v>7</v>
      </c>
      <c r="I1" s="2" t="s">
        <v>8</v>
      </c>
      <c r="J1" s="4" t="s">
        <v>97</v>
      </c>
      <c r="K1" s="7">
        <v>0.04</v>
      </c>
    </row>
    <row r="2" spans="1:11" x14ac:dyDescent="0.25">
      <c r="A2" s="10" t="s">
        <v>44</v>
      </c>
      <c r="B2" t="s">
        <v>43</v>
      </c>
      <c r="C2" t="s">
        <v>93</v>
      </c>
      <c r="D2" t="s">
        <v>94</v>
      </c>
      <c r="E2">
        <v>3</v>
      </c>
      <c r="F2" s="6">
        <v>3.1866854002436837</v>
      </c>
      <c r="G2" s="9">
        <v>2400</v>
      </c>
      <c r="H2" s="8" cm="1">
        <f t="array" ref="H2">update(F2,G2,$K$3)</f>
        <v>0</v>
      </c>
      <c r="I2" s="8" cm="1">
        <f t="array" ref="I2">NEWTOTAL(G2,H2)</f>
        <v>2400</v>
      </c>
    </row>
    <row r="3" spans="1:11" x14ac:dyDescent="0.25">
      <c r="A3" t="s">
        <v>32</v>
      </c>
      <c r="B3" t="s">
        <v>31</v>
      </c>
      <c r="C3" t="s">
        <v>93</v>
      </c>
      <c r="D3" t="s">
        <v>94</v>
      </c>
      <c r="E3">
        <v>3</v>
      </c>
      <c r="F3" s="6">
        <v>2.6927074403478479</v>
      </c>
      <c r="G3" s="9">
        <v>2900</v>
      </c>
      <c r="H3" s="8" cm="1">
        <f t="array" ref="H3">update(F3,G3,$K$3)</f>
        <v>0</v>
      </c>
      <c r="I3" s="8" cm="1">
        <f t="array" ref="I3">NEWTOTAL(G3,H3)</f>
        <v>2900</v>
      </c>
    </row>
    <row r="4" spans="1:11" x14ac:dyDescent="0.25">
      <c r="A4" t="s">
        <v>28</v>
      </c>
      <c r="B4" t="s">
        <v>27</v>
      </c>
      <c r="C4" t="s">
        <v>90</v>
      </c>
      <c r="D4" t="s">
        <v>94</v>
      </c>
      <c r="E4">
        <v>8</v>
      </c>
      <c r="F4" s="6">
        <v>3.4838389958064115</v>
      </c>
      <c r="G4" s="9">
        <v>300</v>
      </c>
      <c r="H4" s="8" cm="1">
        <f t="array" ref="H4">update(F4,G4,$K$3)</f>
        <v>0</v>
      </c>
      <c r="I4" s="8" cm="1">
        <f t="array" ref="I4">NEWTOTAL(G4,H4)</f>
        <v>300</v>
      </c>
    </row>
    <row r="5" spans="1:11" x14ac:dyDescent="0.25">
      <c r="A5" t="s">
        <v>84</v>
      </c>
      <c r="B5" t="s">
        <v>83</v>
      </c>
      <c r="C5" t="s">
        <v>92</v>
      </c>
      <c r="D5" t="s">
        <v>94</v>
      </c>
      <c r="E5">
        <v>7</v>
      </c>
      <c r="F5" s="6">
        <v>2.8186723322902862</v>
      </c>
      <c r="G5" s="9">
        <v>7700</v>
      </c>
      <c r="H5" s="8" cm="1">
        <f t="array" ref="H5">update(F5,G5,$K$3)</f>
        <v>0</v>
      </c>
      <c r="I5" s="8" cm="1">
        <f t="array" ref="I5">NEWTOTAL(G5,H5)</f>
        <v>7700</v>
      </c>
    </row>
    <row r="6" spans="1:11" x14ac:dyDescent="0.25">
      <c r="A6" t="s">
        <v>76</v>
      </c>
      <c r="B6" t="s">
        <v>75</v>
      </c>
      <c r="C6" t="s">
        <v>93</v>
      </c>
      <c r="D6" t="s">
        <v>94</v>
      </c>
      <c r="E6">
        <v>7</v>
      </c>
      <c r="F6" s="6">
        <v>3.7000591717079732</v>
      </c>
      <c r="G6" s="9">
        <v>5100</v>
      </c>
      <c r="H6" s="8" cm="1">
        <f t="array" ref="H6">update(F6,G6,$K$3)</f>
        <v>0</v>
      </c>
      <c r="I6" s="8" cm="1">
        <f t="array" ref="I6">NEWTOTAL(G6,H6)</f>
        <v>5100</v>
      </c>
    </row>
    <row r="7" spans="1:11" x14ac:dyDescent="0.25">
      <c r="A7" t="s">
        <v>66</v>
      </c>
      <c r="B7" t="s">
        <v>65</v>
      </c>
      <c r="C7" t="s">
        <v>92</v>
      </c>
      <c r="D7" t="s">
        <v>94</v>
      </c>
      <c r="E7">
        <v>8</v>
      </c>
      <c r="F7" s="6">
        <v>1.8494910096555921</v>
      </c>
      <c r="G7" s="9">
        <v>6000</v>
      </c>
      <c r="H7" s="8" cm="1">
        <f t="array" ref="H7">update(F7,G7,$K$3)</f>
        <v>0</v>
      </c>
      <c r="I7" s="8" cm="1">
        <f t="array" ref="I7">NEWTOTAL(G7,H7)</f>
        <v>6000</v>
      </c>
    </row>
    <row r="8" spans="1:11" x14ac:dyDescent="0.25">
      <c r="A8" t="s">
        <v>46</v>
      </c>
      <c r="B8" t="s">
        <v>45</v>
      </c>
      <c r="C8" t="s">
        <v>90</v>
      </c>
      <c r="D8" t="s">
        <v>94</v>
      </c>
      <c r="E8">
        <v>8</v>
      </c>
      <c r="F8" s="6">
        <v>2.6541522762156933</v>
      </c>
      <c r="G8" s="9">
        <v>700</v>
      </c>
      <c r="H8" s="8" cm="1">
        <f t="array" ref="H8">update(F8,G8,$K$3)</f>
        <v>0</v>
      </c>
      <c r="I8" s="8" cm="1">
        <f t="array" ref="I8">NEWTOTAL(G8,H8)</f>
        <v>700</v>
      </c>
    </row>
    <row r="9" spans="1:11" x14ac:dyDescent="0.25">
      <c r="A9" t="s">
        <v>60</v>
      </c>
      <c r="B9" t="s">
        <v>59</v>
      </c>
      <c r="C9" t="s">
        <v>92</v>
      </c>
      <c r="D9" t="s">
        <v>94</v>
      </c>
      <c r="E9">
        <v>6</v>
      </c>
      <c r="F9" s="6">
        <v>3.2882477869132796</v>
      </c>
      <c r="G9" s="9">
        <v>7800</v>
      </c>
      <c r="H9" s="8" cm="1">
        <f t="array" ref="H9">update(F9,G9,$K$3)</f>
        <v>0</v>
      </c>
      <c r="I9" s="8" cm="1">
        <f t="array" ref="I9">NEWTOTAL(G9,H9)</f>
        <v>7800</v>
      </c>
    </row>
    <row r="10" spans="1:11" x14ac:dyDescent="0.25">
      <c r="A10" t="s">
        <v>58</v>
      </c>
      <c r="B10" t="s">
        <v>57</v>
      </c>
      <c r="C10" t="s">
        <v>90</v>
      </c>
      <c r="D10" t="s">
        <v>94</v>
      </c>
      <c r="E10">
        <v>7</v>
      </c>
      <c r="F10" s="6">
        <v>2.8937476406627956</v>
      </c>
      <c r="G10" s="9">
        <v>4300</v>
      </c>
      <c r="H10" s="8" cm="1">
        <f t="array" ref="H10">update(F10,G10,$K$3)</f>
        <v>0</v>
      </c>
      <c r="I10" s="8" cm="1">
        <f t="array" ref="I10">NEWTOTAL(G10,H10)</f>
        <v>4300</v>
      </c>
    </row>
    <row r="11" spans="1:11" x14ac:dyDescent="0.25">
      <c r="A11" t="s">
        <v>56</v>
      </c>
      <c r="B11" t="s">
        <v>55</v>
      </c>
      <c r="C11" t="s">
        <v>93</v>
      </c>
      <c r="D11" t="s">
        <v>94</v>
      </c>
      <c r="E11">
        <v>1</v>
      </c>
      <c r="F11" s="6">
        <v>2.9315300676602423</v>
      </c>
      <c r="G11" s="9">
        <v>3700</v>
      </c>
      <c r="H11" s="8" cm="1">
        <f t="array" ref="H11">update(F11,G11,$K$3)</f>
        <v>0</v>
      </c>
      <c r="I11" s="8" cm="1">
        <f t="array" ref="I11">NEWTOTAL(G11,H11)</f>
        <v>3700</v>
      </c>
    </row>
    <row r="12" spans="1:11" x14ac:dyDescent="0.25">
      <c r="A12" t="s">
        <v>74</v>
      </c>
      <c r="B12" t="s">
        <v>73</v>
      </c>
      <c r="C12" t="s">
        <v>92</v>
      </c>
      <c r="D12" t="s">
        <v>94</v>
      </c>
      <c r="E12">
        <v>4</v>
      </c>
      <c r="F12" s="6">
        <v>3.3285876324896662</v>
      </c>
      <c r="G12" s="9">
        <v>1100</v>
      </c>
      <c r="H12" s="8" cm="1">
        <f t="array" ref="H12">update(F12,G12,$K$3)</f>
        <v>0</v>
      </c>
      <c r="I12" s="8" cm="1">
        <f t="array" ref="I12">NEWTOTAL(G12,H12)</f>
        <v>1100</v>
      </c>
    </row>
    <row r="13" spans="1:11" x14ac:dyDescent="0.25">
      <c r="A13" t="s">
        <v>10</v>
      </c>
      <c r="B13" t="s">
        <v>9</v>
      </c>
      <c r="C13" t="s">
        <v>89</v>
      </c>
      <c r="D13" t="s">
        <v>94</v>
      </c>
      <c r="E13">
        <v>1</v>
      </c>
      <c r="F13" s="6">
        <v>1.2258906466375099</v>
      </c>
      <c r="G13" s="9">
        <v>3100</v>
      </c>
      <c r="H13" s="8" cm="1">
        <f t="array" ref="H13">update(F13,G13,$K$3)</f>
        <v>0</v>
      </c>
      <c r="I13" s="8" cm="1">
        <f t="array" ref="I13">NEWTOTAL(G13,H13)</f>
        <v>3100</v>
      </c>
    </row>
    <row r="14" spans="1:11" x14ac:dyDescent="0.25">
      <c r="A14" t="s">
        <v>26</v>
      </c>
      <c r="B14" t="s">
        <v>25</v>
      </c>
      <c r="C14" t="s">
        <v>93</v>
      </c>
      <c r="D14" t="s">
        <v>94</v>
      </c>
      <c r="E14">
        <v>4</v>
      </c>
      <c r="F14" s="6">
        <v>1.5053970752644059</v>
      </c>
      <c r="G14" s="9">
        <v>3300</v>
      </c>
      <c r="H14" s="8" cm="1">
        <f t="array" ref="H14">update(F14,G14,$K$3)</f>
        <v>0</v>
      </c>
      <c r="I14" s="8" cm="1">
        <f t="array" ref="I14">NEWTOTAL(G14,H14)</f>
        <v>3300</v>
      </c>
    </row>
    <row r="15" spans="1:11" x14ac:dyDescent="0.25">
      <c r="A15" t="s">
        <v>40</v>
      </c>
      <c r="B15" t="s">
        <v>39</v>
      </c>
      <c r="C15" t="s">
        <v>93</v>
      </c>
      <c r="D15" t="s">
        <v>95</v>
      </c>
      <c r="E15">
        <v>5</v>
      </c>
      <c r="F15" s="6">
        <v>1.714597937299531</v>
      </c>
      <c r="G15" s="9">
        <v>4100</v>
      </c>
      <c r="H15" s="8" cm="1">
        <f t="array" ref="H15">update(F15,G15,$K$3)</f>
        <v>0</v>
      </c>
      <c r="I15" s="8" cm="1">
        <f t="array" ref="I15">NEWTOTAL(G15,H15)</f>
        <v>4100</v>
      </c>
    </row>
    <row r="16" spans="1:11" x14ac:dyDescent="0.25">
      <c r="A16" t="s">
        <v>48</v>
      </c>
      <c r="B16" t="s">
        <v>47</v>
      </c>
      <c r="C16" t="s">
        <v>92</v>
      </c>
      <c r="D16" t="s">
        <v>95</v>
      </c>
      <c r="E16">
        <v>5</v>
      </c>
      <c r="F16" s="6">
        <v>2.0278694344829877</v>
      </c>
      <c r="G16" s="9">
        <v>3100</v>
      </c>
      <c r="H16" s="8" cm="1">
        <f t="array" ref="H16">update(F16,G16,$K$3)</f>
        <v>0</v>
      </c>
      <c r="I16" s="8" cm="1">
        <f t="array" ref="I16">NEWTOTAL(G16,H16)</f>
        <v>3100</v>
      </c>
    </row>
    <row r="17" spans="1:9" x14ac:dyDescent="0.25">
      <c r="A17" t="s">
        <v>72</v>
      </c>
      <c r="B17" t="s">
        <v>71</v>
      </c>
      <c r="C17" t="s">
        <v>92</v>
      </c>
      <c r="D17" t="s">
        <v>95</v>
      </c>
      <c r="E17">
        <v>6</v>
      </c>
      <c r="F17" s="6">
        <v>3.1952574452375799</v>
      </c>
      <c r="G17" s="9">
        <v>4600</v>
      </c>
      <c r="H17" s="8" cm="1">
        <f t="array" ref="H17">update(F17,G17,$K$3)</f>
        <v>0</v>
      </c>
      <c r="I17" s="8" cm="1">
        <f t="array" ref="I17">NEWTOTAL(G17,H17)</f>
        <v>4600</v>
      </c>
    </row>
    <row r="18" spans="1:9" x14ac:dyDescent="0.25">
      <c r="A18" t="s">
        <v>22</v>
      </c>
      <c r="B18" t="s">
        <v>21</v>
      </c>
      <c r="C18" t="s">
        <v>90</v>
      </c>
      <c r="D18" t="s">
        <v>95</v>
      </c>
      <c r="E18">
        <v>4</v>
      </c>
      <c r="F18" s="6">
        <v>3.6668315923763792</v>
      </c>
      <c r="G18" s="9">
        <v>500</v>
      </c>
      <c r="H18" s="8" cm="1">
        <f t="array" ref="H18">update(F18,G18,$K$3)</f>
        <v>0</v>
      </c>
      <c r="I18" s="8" cm="1">
        <f t="array" ref="I18">NEWTOTAL(G18,H18)</f>
        <v>500</v>
      </c>
    </row>
    <row r="19" spans="1:9" x14ac:dyDescent="0.25">
      <c r="A19" t="s">
        <v>78</v>
      </c>
      <c r="B19" t="s">
        <v>77</v>
      </c>
      <c r="C19" t="s">
        <v>90</v>
      </c>
      <c r="D19" t="s">
        <v>95</v>
      </c>
      <c r="E19">
        <v>1</v>
      </c>
      <c r="F19" s="6">
        <v>1.1754080588954321</v>
      </c>
      <c r="G19" s="9">
        <v>1500</v>
      </c>
      <c r="H19" s="8" cm="1">
        <f t="array" ref="H19">update(F19,G19,$K$3)</f>
        <v>0</v>
      </c>
      <c r="I19" s="8" cm="1">
        <f t="array" ref="I19">NEWTOTAL(G19,H19)</f>
        <v>1500</v>
      </c>
    </row>
    <row r="20" spans="1:9" x14ac:dyDescent="0.25">
      <c r="A20" t="s">
        <v>80</v>
      </c>
      <c r="B20" t="s">
        <v>79</v>
      </c>
      <c r="C20" t="s">
        <v>93</v>
      </c>
      <c r="D20" t="s">
        <v>95</v>
      </c>
      <c r="E20">
        <v>7</v>
      </c>
      <c r="F20" s="6">
        <v>3.1437011091561793</v>
      </c>
      <c r="G20" s="9">
        <v>6900</v>
      </c>
      <c r="H20" s="8" cm="1">
        <f t="array" ref="H20">update(F20,G20,$K$3)</f>
        <v>0</v>
      </c>
      <c r="I20" s="8" cm="1">
        <f t="array" ref="I20">NEWTOTAL(G20,H20)</f>
        <v>6900</v>
      </c>
    </row>
    <row r="21" spans="1:9" x14ac:dyDescent="0.25">
      <c r="A21" t="s">
        <v>86</v>
      </c>
      <c r="B21" t="s">
        <v>85</v>
      </c>
      <c r="C21" t="s">
        <v>91</v>
      </c>
      <c r="D21" t="s">
        <v>95</v>
      </c>
      <c r="E21">
        <v>4</v>
      </c>
      <c r="F21" s="6">
        <v>3.8760419748757435</v>
      </c>
      <c r="G21" s="9">
        <v>3100</v>
      </c>
      <c r="H21" s="8" cm="1">
        <f t="array" ref="H21">update(F21,G21,$K$3)</f>
        <v>0</v>
      </c>
      <c r="I21" s="8" cm="1">
        <f t="array" ref="I21">NEWTOTAL(G21,H21)</f>
        <v>3100</v>
      </c>
    </row>
    <row r="22" spans="1:9" x14ac:dyDescent="0.25">
      <c r="A22" t="s">
        <v>20</v>
      </c>
      <c r="B22" t="s">
        <v>19</v>
      </c>
      <c r="C22" t="s">
        <v>93</v>
      </c>
      <c r="D22" t="s">
        <v>95</v>
      </c>
      <c r="E22">
        <v>6</v>
      </c>
      <c r="F22" s="6">
        <v>1.7145670968597442</v>
      </c>
      <c r="G22" s="9">
        <v>2700</v>
      </c>
      <c r="H22" s="8" cm="1">
        <f t="array" ref="H22">update(F22,G22,$K$3)</f>
        <v>0</v>
      </c>
      <c r="I22" s="8" cm="1">
        <f t="array" ref="I22">NEWTOTAL(G22,H22)</f>
        <v>2700</v>
      </c>
    </row>
    <row r="23" spans="1:9" x14ac:dyDescent="0.25">
      <c r="A23" t="s">
        <v>34</v>
      </c>
      <c r="B23" t="s">
        <v>33</v>
      </c>
      <c r="C23" t="s">
        <v>89</v>
      </c>
      <c r="D23" t="s">
        <v>95</v>
      </c>
      <c r="E23">
        <v>4</v>
      </c>
      <c r="F23" s="6">
        <v>3.4797259864341097</v>
      </c>
      <c r="G23" s="9">
        <v>6600</v>
      </c>
      <c r="H23" s="8" cm="1">
        <f t="array" ref="H23">update(F23,G23,$K$3)</f>
        <v>0</v>
      </c>
      <c r="I23" s="8" cm="1">
        <f t="array" ref="I23">NEWTOTAL(G23,H23)</f>
        <v>6600</v>
      </c>
    </row>
    <row r="24" spans="1:9" x14ac:dyDescent="0.25">
      <c r="A24" t="s">
        <v>68</v>
      </c>
      <c r="B24" t="s">
        <v>67</v>
      </c>
      <c r="C24" t="s">
        <v>93</v>
      </c>
      <c r="D24" t="s">
        <v>95</v>
      </c>
      <c r="E24">
        <v>4</v>
      </c>
      <c r="F24" s="6">
        <v>1.4745874933142615</v>
      </c>
      <c r="G24" s="9">
        <v>3100</v>
      </c>
      <c r="H24" s="8" cm="1">
        <f t="array" ref="H24">update(F24,G24,$K$3)</f>
        <v>0</v>
      </c>
      <c r="I24" s="8" cm="1">
        <f t="array" ref="I24">NEWTOTAL(G24,H24)</f>
        <v>3100</v>
      </c>
    </row>
    <row r="25" spans="1:9" x14ac:dyDescent="0.25">
      <c r="A25" t="s">
        <v>30</v>
      </c>
      <c r="B25" t="s">
        <v>29</v>
      </c>
      <c r="C25" t="s">
        <v>92</v>
      </c>
      <c r="D25" t="s">
        <v>95</v>
      </c>
      <c r="E25">
        <v>5</v>
      </c>
      <c r="F25" s="6">
        <v>2.1771012128629108</v>
      </c>
      <c r="G25" s="9">
        <v>6800</v>
      </c>
      <c r="H25" s="8" cm="1">
        <f t="array" ref="H25">update(F25,G25,$K$3)</f>
        <v>0</v>
      </c>
      <c r="I25" s="8" cm="1">
        <f t="array" ref="I25">NEWTOTAL(G25,H25)</f>
        <v>6800</v>
      </c>
    </row>
    <row r="26" spans="1:9" x14ac:dyDescent="0.25">
      <c r="A26" t="s">
        <v>50</v>
      </c>
      <c r="B26" t="s">
        <v>49</v>
      </c>
      <c r="C26" t="s">
        <v>91</v>
      </c>
      <c r="D26" t="s">
        <v>95</v>
      </c>
      <c r="E26">
        <v>1</v>
      </c>
      <c r="F26" s="6">
        <v>1.8873158160166539</v>
      </c>
      <c r="G26" s="9">
        <v>4600</v>
      </c>
      <c r="H26" s="8" cm="1">
        <f t="array" ref="H26">update(F26,G26,$K$3)</f>
        <v>0</v>
      </c>
      <c r="I26" s="8" cm="1">
        <f t="array" ref="I26">NEWTOTAL(G26,H26)</f>
        <v>4600</v>
      </c>
    </row>
    <row r="27" spans="1:9" x14ac:dyDescent="0.25">
      <c r="A27" t="s">
        <v>62</v>
      </c>
      <c r="B27" t="s">
        <v>61</v>
      </c>
      <c r="C27" t="s">
        <v>93</v>
      </c>
      <c r="D27" t="s">
        <v>95</v>
      </c>
      <c r="E27">
        <v>4</v>
      </c>
      <c r="F27" s="6">
        <v>2.9224478674252028</v>
      </c>
      <c r="G27" s="9">
        <v>5700</v>
      </c>
      <c r="H27" s="8" cm="1">
        <f t="array" ref="H27">update(F27,G27,$K$3)</f>
        <v>0</v>
      </c>
      <c r="I27" s="8" cm="1">
        <f t="array" ref="I27">NEWTOTAL(G27,H27)</f>
        <v>5700</v>
      </c>
    </row>
    <row r="28" spans="1:9" x14ac:dyDescent="0.25">
      <c r="A28" t="s">
        <v>12</v>
      </c>
      <c r="B28" t="s">
        <v>11</v>
      </c>
      <c r="C28" t="s">
        <v>90</v>
      </c>
      <c r="D28" t="s">
        <v>95</v>
      </c>
      <c r="E28">
        <v>3</v>
      </c>
      <c r="F28" s="6">
        <v>1.6700108404994281</v>
      </c>
      <c r="G28" s="9">
        <v>4100</v>
      </c>
      <c r="H28" s="8" cm="1">
        <f t="array" ref="H28">update(F28,G28,$K$3)</f>
        <v>0</v>
      </c>
      <c r="I28" s="8" cm="1">
        <f t="array" ref="I28">NEWTOTAL(G28,H28)</f>
        <v>4100</v>
      </c>
    </row>
    <row r="29" spans="1:9" x14ac:dyDescent="0.25">
      <c r="A29" t="s">
        <v>16</v>
      </c>
      <c r="B29" t="s">
        <v>15</v>
      </c>
      <c r="C29" t="s">
        <v>90</v>
      </c>
      <c r="D29" t="s">
        <v>95</v>
      </c>
      <c r="E29">
        <v>6</v>
      </c>
      <c r="F29" s="6">
        <v>3.2739227962675344</v>
      </c>
      <c r="G29" s="9">
        <v>4700</v>
      </c>
      <c r="H29" s="8" cm="1">
        <f t="array" ref="H29">update(F29,G29,$K$3)</f>
        <v>0</v>
      </c>
      <c r="I29" s="8" cm="1">
        <f t="array" ref="I29">NEWTOTAL(G29,H29)</f>
        <v>4700</v>
      </c>
    </row>
    <row r="30" spans="1:9" x14ac:dyDescent="0.25">
      <c r="A30" t="s">
        <v>54</v>
      </c>
      <c r="B30" t="s">
        <v>53</v>
      </c>
      <c r="C30" t="s">
        <v>92</v>
      </c>
      <c r="D30" t="s">
        <v>96</v>
      </c>
      <c r="E30">
        <v>1</v>
      </c>
      <c r="F30" s="6">
        <v>2.855914560285739</v>
      </c>
      <c r="G30" s="9">
        <v>7200</v>
      </c>
      <c r="H30" s="8" cm="1">
        <f t="array" ref="H30">update(F30,G30,$K$3)</f>
        <v>0</v>
      </c>
      <c r="I30" s="8" cm="1">
        <f t="array" ref="I30">NEWTOTAL(G30,H30)</f>
        <v>7200</v>
      </c>
    </row>
    <row r="31" spans="1:9" x14ac:dyDescent="0.25">
      <c r="A31" t="s">
        <v>88</v>
      </c>
      <c r="B31" t="s">
        <v>87</v>
      </c>
      <c r="C31" t="s">
        <v>90</v>
      </c>
      <c r="D31" t="s">
        <v>96</v>
      </c>
      <c r="E31">
        <v>3</v>
      </c>
      <c r="F31" s="6">
        <v>2.8215613844000043</v>
      </c>
      <c r="G31" s="9">
        <v>5000</v>
      </c>
      <c r="H31" s="8" cm="1">
        <f t="array" ref="H31">update(F31,G31,$K$3)</f>
        <v>0</v>
      </c>
      <c r="I31" s="8" cm="1">
        <f t="array" ref="I31">NEWTOTAL(G31,H31)</f>
        <v>5000</v>
      </c>
    </row>
    <row r="32" spans="1:9" x14ac:dyDescent="0.25">
      <c r="A32" t="s">
        <v>36</v>
      </c>
      <c r="B32" t="s">
        <v>35</v>
      </c>
      <c r="C32" t="s">
        <v>90</v>
      </c>
      <c r="D32" t="s">
        <v>96</v>
      </c>
      <c r="E32">
        <v>4</v>
      </c>
      <c r="F32" s="6">
        <v>1.5705908907582731</v>
      </c>
      <c r="G32" s="9">
        <v>3500</v>
      </c>
      <c r="H32" s="8" cm="1">
        <f t="array" ref="H32">update(F32,G32,$K$3)</f>
        <v>0</v>
      </c>
      <c r="I32" s="8" cm="1">
        <f t="array" ref="I32">NEWTOTAL(G32,H32)</f>
        <v>3500</v>
      </c>
    </row>
    <row r="33" spans="1:9" x14ac:dyDescent="0.25">
      <c r="A33" t="s">
        <v>64</v>
      </c>
      <c r="B33" t="s">
        <v>63</v>
      </c>
      <c r="C33" t="s">
        <v>90</v>
      </c>
      <c r="D33" t="s">
        <v>96</v>
      </c>
      <c r="E33">
        <v>5</v>
      </c>
      <c r="F33" s="6">
        <v>1.7046298456854778</v>
      </c>
      <c r="G33" s="9">
        <v>7200</v>
      </c>
      <c r="H33" s="8" cm="1">
        <f t="array" ref="H33">update(F33,G33,$K$3)</f>
        <v>0</v>
      </c>
      <c r="I33" s="8" cm="1">
        <f t="array" ref="I33">NEWTOTAL(G33,H33)</f>
        <v>7200</v>
      </c>
    </row>
    <row r="34" spans="1:9" x14ac:dyDescent="0.25">
      <c r="A34" t="s">
        <v>18</v>
      </c>
      <c r="B34" t="s">
        <v>17</v>
      </c>
      <c r="C34" t="s">
        <v>92</v>
      </c>
      <c r="D34" t="s">
        <v>96</v>
      </c>
      <c r="E34">
        <v>8</v>
      </c>
      <c r="F34" s="6">
        <v>1.7283136556391154</v>
      </c>
      <c r="G34" s="9">
        <v>4800</v>
      </c>
      <c r="H34" s="8" cm="1">
        <f t="array" ref="H34">update(F34,G34,$K$3)</f>
        <v>0</v>
      </c>
      <c r="I34" s="8" cm="1">
        <f t="array" ref="I34">NEWTOTAL(G34,H34)</f>
        <v>4800</v>
      </c>
    </row>
    <row r="35" spans="1:9" x14ac:dyDescent="0.25">
      <c r="A35" t="s">
        <v>38</v>
      </c>
      <c r="B35" t="s">
        <v>37</v>
      </c>
      <c r="C35" t="s">
        <v>92</v>
      </c>
      <c r="D35" t="s">
        <v>96</v>
      </c>
      <c r="E35">
        <v>3</v>
      </c>
      <c r="F35" s="6">
        <v>2.1750335476108136</v>
      </c>
      <c r="G35" s="9">
        <v>3900</v>
      </c>
      <c r="H35" s="8" cm="1">
        <f t="array" ref="H35">update(F35,G35,$K$3)</f>
        <v>0</v>
      </c>
      <c r="I35" s="8" cm="1">
        <f t="array" ref="I35">NEWTOTAL(G35,H35)</f>
        <v>3900</v>
      </c>
    </row>
    <row r="36" spans="1:9" x14ac:dyDescent="0.25">
      <c r="A36" t="s">
        <v>14</v>
      </c>
      <c r="B36" t="s">
        <v>13</v>
      </c>
      <c r="C36" t="s">
        <v>91</v>
      </c>
      <c r="D36" t="s">
        <v>96</v>
      </c>
      <c r="E36">
        <v>8</v>
      </c>
      <c r="F36" s="6">
        <v>2.6216345785431141</v>
      </c>
      <c r="G36" s="9">
        <v>5700</v>
      </c>
      <c r="H36" s="8" cm="1">
        <f t="array" ref="H36">update(F36,G36,$K$3)</f>
        <v>0</v>
      </c>
      <c r="I36" s="8" cm="1">
        <f t="array" ref="I36">NEWTOTAL(G36,H36)</f>
        <v>5700</v>
      </c>
    </row>
    <row r="37" spans="1:9" x14ac:dyDescent="0.25">
      <c r="A37" t="s">
        <v>82</v>
      </c>
      <c r="B37" t="s">
        <v>81</v>
      </c>
      <c r="C37" t="s">
        <v>90</v>
      </c>
      <c r="D37" t="s">
        <v>96</v>
      </c>
      <c r="E37">
        <v>5</v>
      </c>
      <c r="F37" s="6">
        <v>2.370459974030116</v>
      </c>
      <c r="G37" s="9">
        <v>200</v>
      </c>
      <c r="H37" s="8" cm="1">
        <f t="array" ref="H37">update(F37,G37,$K$3)</f>
        <v>0</v>
      </c>
      <c r="I37" s="8" cm="1">
        <f t="array" ref="I37">NEWTOTAL(G37,H37)</f>
        <v>200</v>
      </c>
    </row>
    <row r="38" spans="1:9" x14ac:dyDescent="0.25">
      <c r="A38" t="s">
        <v>24</v>
      </c>
      <c r="B38" t="s">
        <v>23</v>
      </c>
      <c r="C38" t="s">
        <v>92</v>
      </c>
      <c r="D38" t="s">
        <v>96</v>
      </c>
      <c r="E38">
        <v>5</v>
      </c>
      <c r="F38" s="6">
        <v>1.2322073693710105</v>
      </c>
      <c r="G38" s="9">
        <v>4600</v>
      </c>
      <c r="H38" s="8" cm="1">
        <f t="array" ref="H38">update(F38,G38,$K$3)</f>
        <v>0</v>
      </c>
      <c r="I38" s="8" cm="1">
        <f t="array" ref="I38">NEWTOTAL(G38,H38)</f>
        <v>4600</v>
      </c>
    </row>
    <row r="39" spans="1:9" x14ac:dyDescent="0.25">
      <c r="A39" t="s">
        <v>42</v>
      </c>
      <c r="B39" t="s">
        <v>41</v>
      </c>
      <c r="C39" t="s">
        <v>90</v>
      </c>
      <c r="D39" t="s">
        <v>96</v>
      </c>
      <c r="E39">
        <v>3</v>
      </c>
      <c r="F39" s="6">
        <v>1.6425157017865759</v>
      </c>
      <c r="G39" s="9">
        <v>4100</v>
      </c>
      <c r="H39" s="8" cm="1">
        <f t="array" ref="H39">update(F39,G39,$K$3)</f>
        <v>0</v>
      </c>
      <c r="I39" s="8" cm="1">
        <f t="array" ref="I39">NEWTOTAL(G39,H39)</f>
        <v>4100</v>
      </c>
    </row>
    <row r="40" spans="1:9" x14ac:dyDescent="0.25">
      <c r="A40" t="s">
        <v>52</v>
      </c>
      <c r="B40" t="s">
        <v>51</v>
      </c>
      <c r="C40" t="s">
        <v>90</v>
      </c>
      <c r="D40" t="s">
        <v>96</v>
      </c>
      <c r="E40">
        <v>6</v>
      </c>
      <c r="F40" s="6">
        <v>2.3592757705214051</v>
      </c>
      <c r="G40" s="9">
        <v>1500</v>
      </c>
      <c r="H40" s="8" cm="1">
        <f t="array" ref="H40">update(F40,G40,$K$3)</f>
        <v>0</v>
      </c>
      <c r="I40" s="8" cm="1">
        <f t="array" ref="I40">NEWTOTAL(G40,H40)</f>
        <v>1500</v>
      </c>
    </row>
    <row r="41" spans="1:9" x14ac:dyDescent="0.25">
      <c r="A41" t="s">
        <v>70</v>
      </c>
      <c r="B41" t="s">
        <v>69</v>
      </c>
      <c r="C41" t="s">
        <v>90</v>
      </c>
      <c r="D41" t="s">
        <v>96</v>
      </c>
      <c r="E41">
        <v>6</v>
      </c>
      <c r="F41" s="6">
        <v>2.6579789678802315</v>
      </c>
      <c r="G41" s="9">
        <v>5900</v>
      </c>
      <c r="H41" s="8" cm="1">
        <f t="array" ref="H41">update(F41,G41,$K$3)</f>
        <v>0</v>
      </c>
      <c r="I41" s="8" cm="1">
        <f t="array" ref="I41">NEWTOTAL(G41,H41)</f>
        <v>5900</v>
      </c>
    </row>
  </sheetData>
  <conditionalFormatting sqref="D2:D41">
    <cfRule type="cellIs" dxfId="0" priority="1" operator="equal">
      <formula>"FL Resident"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B6843-8660-495B-B002-6A48ECABEE46}">
  <sheetPr codeName="Sheet3"/>
  <dimension ref="F2:N17"/>
  <sheetViews>
    <sheetView workbookViewId="0"/>
  </sheetViews>
  <sheetFormatPr defaultRowHeight="15" x14ac:dyDescent="0.25"/>
  <sheetData>
    <row r="2" spans="6:14" ht="15" customHeight="1" thickBot="1" x14ac:dyDescent="0.3"/>
    <row r="3" spans="6:14" ht="15" customHeight="1" thickTop="1" thickBot="1" x14ac:dyDescent="0.3">
      <c r="F3" s="12"/>
      <c r="G3" s="13"/>
      <c r="H3" s="13"/>
      <c r="I3" s="13"/>
      <c r="J3" s="13"/>
      <c r="K3" s="13"/>
      <c r="L3" s="13"/>
      <c r="M3" s="13"/>
      <c r="N3" s="14"/>
    </row>
    <row r="4" spans="6:14" ht="30" customHeight="1" thickBot="1" x14ac:dyDescent="0.3">
      <c r="F4" s="15"/>
      <c r="G4" s="29" t="s">
        <v>99</v>
      </c>
      <c r="H4" s="30"/>
      <c r="I4" s="30"/>
      <c r="J4" s="30"/>
      <c r="K4" s="30"/>
      <c r="L4" s="30"/>
      <c r="M4" s="31"/>
      <c r="N4" s="16"/>
    </row>
    <row r="5" spans="6:14" ht="30" customHeight="1" thickBot="1" x14ac:dyDescent="0.3">
      <c r="F5" s="15"/>
      <c r="G5" s="49" t="s">
        <v>100</v>
      </c>
      <c r="H5" s="50"/>
      <c r="I5" s="37" t="s">
        <v>109</v>
      </c>
      <c r="J5" s="38"/>
      <c r="K5" s="38"/>
      <c r="L5" s="38"/>
      <c r="M5" s="39"/>
      <c r="N5" s="16"/>
    </row>
    <row r="6" spans="6:14" ht="30" customHeight="1" thickBot="1" x14ac:dyDescent="0.3">
      <c r="F6" s="15"/>
      <c r="G6" s="34" t="s">
        <v>101</v>
      </c>
      <c r="H6" s="33"/>
      <c r="I6" s="40" t="s">
        <v>108</v>
      </c>
      <c r="J6" s="41"/>
      <c r="K6" s="41"/>
      <c r="L6" s="41"/>
      <c r="M6" s="42"/>
      <c r="N6" s="16"/>
    </row>
    <row r="7" spans="6:14" ht="30" customHeight="1" thickBot="1" x14ac:dyDescent="0.3">
      <c r="F7" s="15"/>
      <c r="G7" s="51" t="s">
        <v>102</v>
      </c>
      <c r="H7" s="52"/>
      <c r="I7" s="43"/>
      <c r="J7" s="44"/>
      <c r="K7" s="44"/>
      <c r="L7" s="44"/>
      <c r="M7" s="45"/>
      <c r="N7" s="16"/>
    </row>
    <row r="8" spans="6:14" ht="37.5" customHeight="1" thickBot="1" x14ac:dyDescent="0.3">
      <c r="F8" s="15"/>
      <c r="G8" s="51" t="s">
        <v>3</v>
      </c>
      <c r="H8" s="52"/>
      <c r="I8" s="43"/>
      <c r="J8" s="44"/>
      <c r="K8" s="44"/>
      <c r="L8" s="44"/>
      <c r="M8" s="45"/>
      <c r="N8" s="16"/>
    </row>
    <row r="9" spans="6:14" ht="30" customHeight="1" thickBot="1" x14ac:dyDescent="0.3">
      <c r="F9" s="15"/>
      <c r="G9" s="32" t="s">
        <v>103</v>
      </c>
      <c r="H9" s="33"/>
      <c r="I9" s="40">
        <v>3</v>
      </c>
      <c r="J9" s="41"/>
      <c r="K9" s="41"/>
      <c r="L9" s="41"/>
      <c r="M9" s="42"/>
      <c r="N9" s="16"/>
    </row>
    <row r="10" spans="6:14" ht="37.5" customHeight="1" thickBot="1" x14ac:dyDescent="0.3">
      <c r="F10" s="15"/>
      <c r="G10" s="34" t="s">
        <v>104</v>
      </c>
      <c r="H10" s="33"/>
      <c r="I10" s="43"/>
      <c r="J10" s="44"/>
      <c r="K10" s="44"/>
      <c r="L10" s="44"/>
      <c r="M10" s="45"/>
      <c r="N10" s="16"/>
    </row>
    <row r="11" spans="6:14" ht="30" customHeight="1" thickBot="1" x14ac:dyDescent="0.3">
      <c r="F11" s="15"/>
      <c r="G11" s="35" t="s">
        <v>110</v>
      </c>
      <c r="H11" s="36"/>
      <c r="I11" s="46">
        <v>1750</v>
      </c>
      <c r="J11" s="47"/>
      <c r="K11" s="47"/>
      <c r="L11" s="47"/>
      <c r="M11" s="48"/>
      <c r="N11" s="16"/>
    </row>
    <row r="12" spans="6:14" ht="15.75" x14ac:dyDescent="0.25">
      <c r="F12" s="15"/>
      <c r="G12" s="17"/>
      <c r="H12" s="17"/>
      <c r="I12" s="21"/>
      <c r="J12" s="17"/>
      <c r="K12" s="17"/>
      <c r="L12" s="17"/>
      <c r="M12" s="17"/>
      <c r="N12" s="16"/>
    </row>
    <row r="13" spans="6:14" x14ac:dyDescent="0.25">
      <c r="F13" s="15"/>
      <c r="G13" s="17"/>
      <c r="H13" s="17"/>
      <c r="I13" s="17"/>
      <c r="J13" s="17"/>
      <c r="K13" s="17"/>
      <c r="L13" s="17"/>
      <c r="M13" s="17"/>
      <c r="N13" s="16"/>
    </row>
    <row r="14" spans="6:14" x14ac:dyDescent="0.25">
      <c r="F14" s="15"/>
      <c r="G14" s="17"/>
      <c r="H14" s="17"/>
      <c r="I14" s="17"/>
      <c r="J14" s="17"/>
      <c r="K14" s="17"/>
      <c r="L14" s="17"/>
      <c r="M14" s="17"/>
      <c r="N14" s="16"/>
    </row>
    <row r="15" spans="6:14" x14ac:dyDescent="0.25">
      <c r="F15" s="15"/>
      <c r="G15" s="17"/>
      <c r="H15" s="17"/>
      <c r="I15" s="17"/>
      <c r="J15" s="17"/>
      <c r="K15" s="17"/>
      <c r="L15" s="17"/>
      <c r="M15" s="17"/>
      <c r="N15" s="16"/>
    </row>
    <row r="16" spans="6:14" ht="15.75" thickBot="1" x14ac:dyDescent="0.3">
      <c r="F16" s="18"/>
      <c r="G16" s="19"/>
      <c r="H16" s="19"/>
      <c r="I16" s="19"/>
      <c r="J16" s="19"/>
      <c r="K16" s="19"/>
      <c r="L16" s="19"/>
      <c r="M16" s="19"/>
      <c r="N16" s="20"/>
    </row>
    <row r="17" ht="15.75" thickTop="1" x14ac:dyDescent="0.25"/>
  </sheetData>
  <mergeCells count="15">
    <mergeCell ref="G4:M4"/>
    <mergeCell ref="G9:H9"/>
    <mergeCell ref="G10:H10"/>
    <mergeCell ref="G11:H11"/>
    <mergeCell ref="I5:M5"/>
    <mergeCell ref="I6:M6"/>
    <mergeCell ref="I7:M7"/>
    <mergeCell ref="I8:M8"/>
    <mergeCell ref="I9:M9"/>
    <mergeCell ref="I10:M10"/>
    <mergeCell ref="I11:M11"/>
    <mergeCell ref="G5:H5"/>
    <mergeCell ref="G6:H6"/>
    <mergeCell ref="G7:H7"/>
    <mergeCell ref="G8:H8"/>
  </mergeCells>
  <dataValidations count="2">
    <dataValidation type="whole" allowBlank="1" showInputMessage="1" showErrorMessage="1" errorTitle="Invalid Data Entered" error="Please insert a whole number between 1-8." promptTitle="Input Semesters Completed" prompt="Input the number of semesters which you have completed as a whole number between 1-8." sqref="I9:M9" xr:uid="{BA0998C2-1676-4EAE-A598-36F63AE41253}">
      <formula1>1</formula1>
      <formula2>8</formula2>
    </dataValidation>
    <dataValidation type="whole" allowBlank="1" showInputMessage="1" showErrorMessage="1" errorTitle="Invalid Data" error="Please insert a whole number between 0 and 5000" promptTitle="Insert Scholarship Needs" prompt="Please insert your scholarship needs; a whole number between $0 and $5000" sqref="I11:M11" xr:uid="{D0B2D172-F24A-45F4-9024-FA9424B0E5DD}">
      <formula1>0</formula1>
      <formula2>5000</formula2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12</xdr:col>
                    <xdr:colOff>638175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Group Box 3">
              <controlPr defaultSize="0" autoFill="0" autoPict="0">
                <anchor moveWithCells="1">
                  <from>
                    <xdr:col>8</xdr:col>
                    <xdr:colOff>9525</xdr:colOff>
                    <xdr:row>7</xdr:row>
                    <xdr:rowOff>9525</xdr:rowOff>
                  </from>
                  <to>
                    <xdr:col>12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8</xdr:col>
                    <xdr:colOff>66675</xdr:colOff>
                    <xdr:row>7</xdr:row>
                    <xdr:rowOff>123825</xdr:rowOff>
                  </from>
                  <to>
                    <xdr:col>9</xdr:col>
                    <xdr:colOff>323850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9</xdr:col>
                    <xdr:colOff>447675</xdr:colOff>
                    <xdr:row>7</xdr:row>
                    <xdr:rowOff>123825</xdr:rowOff>
                  </from>
                  <to>
                    <xdr:col>11</xdr:col>
                    <xdr:colOff>133350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11</xdr:col>
                    <xdr:colOff>266700</xdr:colOff>
                    <xdr:row>7</xdr:row>
                    <xdr:rowOff>123825</xdr:rowOff>
                  </from>
                  <to>
                    <xdr:col>12</xdr:col>
                    <xdr:colOff>552450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Group Box 7">
              <controlPr defaultSize="0" autoFill="0" autoPict="0">
                <anchor moveWithCells="1">
                  <from>
                    <xdr:col>8</xdr:col>
                    <xdr:colOff>9525</xdr:colOff>
                    <xdr:row>9</xdr:row>
                    <xdr:rowOff>9525</xdr:rowOff>
                  </from>
                  <to>
                    <xdr:col>13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Option Button 8">
              <controlPr defaultSize="0" autoFill="0" autoLine="0" autoPict="0">
                <anchor moveWithCells="1">
                  <from>
                    <xdr:col>7</xdr:col>
                    <xdr:colOff>628650</xdr:colOff>
                    <xdr:row>9</xdr:row>
                    <xdr:rowOff>133350</xdr:rowOff>
                  </from>
                  <to>
                    <xdr:col>8</xdr:col>
                    <xdr:colOff>371475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Option Button 9">
              <controlPr defaultSize="0" autoFill="0" autoLine="0" autoPict="0">
                <anchor moveWithCells="1">
                  <from>
                    <xdr:col>8</xdr:col>
                    <xdr:colOff>495300</xdr:colOff>
                    <xdr:row>9</xdr:row>
                    <xdr:rowOff>123825</xdr:rowOff>
                  </from>
                  <to>
                    <xdr:col>9</xdr:col>
                    <xdr:colOff>457200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Option Button 10">
              <controlPr defaultSize="0" autoFill="0" autoLine="0" autoPict="0">
                <anchor moveWithCells="1">
                  <from>
                    <xdr:col>9</xdr:col>
                    <xdr:colOff>571500</xdr:colOff>
                    <xdr:row>9</xdr:row>
                    <xdr:rowOff>133350</xdr:rowOff>
                  </from>
                  <to>
                    <xdr:col>10</xdr:col>
                    <xdr:colOff>571500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Option Button 11">
              <controlPr defaultSize="0" autoFill="0" autoLine="0" autoPict="0">
                <anchor moveWithCells="1">
                  <from>
                    <xdr:col>11</xdr:col>
                    <xdr:colOff>47625</xdr:colOff>
                    <xdr:row>9</xdr:row>
                    <xdr:rowOff>133350</xdr:rowOff>
                  </from>
                  <to>
                    <xdr:col>11</xdr:col>
                    <xdr:colOff>628650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Option Button 12">
              <controlPr defaultSize="0" autoFill="0" autoLine="0" autoPict="0">
                <anchor moveWithCells="1">
                  <from>
                    <xdr:col>12</xdr:col>
                    <xdr:colOff>104775</xdr:colOff>
                    <xdr:row>9</xdr:row>
                    <xdr:rowOff>133350</xdr:rowOff>
                  </from>
                  <to>
                    <xdr:col>12</xdr:col>
                    <xdr:colOff>504825</xdr:colOff>
                    <xdr:row>9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8B89-BF77-477F-81B8-1CD783FFCE03}">
  <sheetPr codeName="Sheet4"/>
  <dimension ref="A1:G19"/>
  <sheetViews>
    <sheetView workbookViewId="0"/>
  </sheetViews>
  <sheetFormatPr defaultRowHeight="15" x14ac:dyDescent="0.25"/>
  <cols>
    <col min="1" max="1" width="20.28515625" bestFit="1" customWidth="1"/>
    <col min="3" max="3" width="9.5703125" bestFit="1" customWidth="1"/>
    <col min="4" max="4" width="11" bestFit="1" customWidth="1"/>
    <col min="5" max="5" width="17.85546875" bestFit="1" customWidth="1"/>
    <col min="6" max="6" width="10.42578125" bestFit="1" customWidth="1"/>
    <col min="7" max="7" width="11.140625" customWidth="1"/>
    <col min="8" max="8" width="15" bestFit="1" customWidth="1"/>
  </cols>
  <sheetData>
    <row r="1" spans="1:7" x14ac:dyDescent="0.25">
      <c r="A1" s="5" t="s">
        <v>106</v>
      </c>
      <c r="B1" s="53" t="s">
        <v>111</v>
      </c>
      <c r="C1" s="54"/>
      <c r="D1" s="5"/>
      <c r="E1" t="s">
        <v>5</v>
      </c>
      <c r="F1" s="53" t="s">
        <v>113</v>
      </c>
      <c r="G1" s="53"/>
    </row>
    <row r="2" spans="1:7" x14ac:dyDescent="0.25">
      <c r="A2" t="s">
        <v>90</v>
      </c>
      <c r="C2">
        <v>1</v>
      </c>
      <c r="E2" t="s">
        <v>114</v>
      </c>
      <c r="G2">
        <v>1</v>
      </c>
    </row>
    <row r="3" spans="1:7" x14ac:dyDescent="0.25">
      <c r="A3" t="s">
        <v>91</v>
      </c>
      <c r="C3">
        <v>2</v>
      </c>
      <c r="E3" t="s">
        <v>115</v>
      </c>
      <c r="G3">
        <v>2</v>
      </c>
    </row>
    <row r="4" spans="1:7" x14ac:dyDescent="0.25">
      <c r="A4" t="s">
        <v>92</v>
      </c>
      <c r="C4">
        <v>3</v>
      </c>
      <c r="E4" t="s">
        <v>116</v>
      </c>
      <c r="G4">
        <v>3</v>
      </c>
    </row>
    <row r="5" spans="1:7" x14ac:dyDescent="0.25">
      <c r="A5" t="s">
        <v>89</v>
      </c>
      <c r="C5">
        <v>4</v>
      </c>
      <c r="E5" t="s">
        <v>117</v>
      </c>
      <c r="G5">
        <v>4</v>
      </c>
    </row>
    <row r="6" spans="1:7" x14ac:dyDescent="0.25">
      <c r="A6" t="s">
        <v>93</v>
      </c>
      <c r="C6">
        <v>5</v>
      </c>
      <c r="E6" t="s">
        <v>118</v>
      </c>
      <c r="G6">
        <v>5</v>
      </c>
    </row>
    <row r="8" spans="1:7" x14ac:dyDescent="0.25">
      <c r="A8" t="s">
        <v>3</v>
      </c>
      <c r="B8" s="53" t="s">
        <v>112</v>
      </c>
      <c r="C8" s="53"/>
    </row>
    <row r="9" spans="1:7" x14ac:dyDescent="0.25">
      <c r="A9" t="s">
        <v>94</v>
      </c>
      <c r="C9">
        <v>1</v>
      </c>
    </row>
    <row r="10" spans="1:7" x14ac:dyDescent="0.25">
      <c r="A10" t="s">
        <v>96</v>
      </c>
      <c r="C10">
        <v>2</v>
      </c>
    </row>
    <row r="11" spans="1:7" x14ac:dyDescent="0.25">
      <c r="A11" t="s">
        <v>95</v>
      </c>
      <c r="C11">
        <v>3</v>
      </c>
    </row>
    <row r="17" spans="1:7" x14ac:dyDescent="0.25">
      <c r="A17" t="s">
        <v>100</v>
      </c>
      <c r="B17" t="s">
        <v>101</v>
      </c>
      <c r="C17" t="s">
        <v>102</v>
      </c>
      <c r="D17" t="s">
        <v>3</v>
      </c>
      <c r="E17" t="s">
        <v>107</v>
      </c>
      <c r="F17" t="s">
        <v>104</v>
      </c>
      <c r="G17" t="s">
        <v>105</v>
      </c>
    </row>
    <row r="18" spans="1:7" x14ac:dyDescent="0.25">
      <c r="A18" t="str">
        <f>'Scholarship Request Form'!I5</f>
        <v>Manning</v>
      </c>
      <c r="B18" t="str">
        <f>'Scholarship Request Form'!I6</f>
        <v>Koby</v>
      </c>
      <c r="C18" t="str">
        <f>_xlfn.XLOOKUP(C19,C2:C6,A2:A6)</f>
        <v>Accounting</v>
      </c>
      <c r="D18" t="str">
        <f>_xlfn.XLOOKUP(D19,C9:C11,A9:A11)</f>
        <v>International</v>
      </c>
      <c r="E18">
        <f>'Scholarship Request Form'!I9</f>
        <v>3</v>
      </c>
      <c r="F18" t="str">
        <f>_xlfn.XLOOKUP(F19,G2:G6,E2:E6)</f>
        <v>2.5 - 2.99</v>
      </c>
      <c r="G18">
        <f>'Scholarship Request Form'!I11</f>
        <v>1750</v>
      </c>
    </row>
    <row r="19" spans="1:7" x14ac:dyDescent="0.25">
      <c r="C19">
        <v>1</v>
      </c>
      <c r="D19">
        <v>2</v>
      </c>
      <c r="F19">
        <v>3</v>
      </c>
    </row>
  </sheetData>
  <mergeCells count="3">
    <mergeCell ref="B1:C1"/>
    <mergeCell ref="B8:C8"/>
    <mergeCell ref="F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33F1-487E-409D-ACAA-BE6D75483807}">
  <sheetPr codeName="Sheet5"/>
  <dimension ref="A1:G4"/>
  <sheetViews>
    <sheetView workbookViewId="0"/>
  </sheetViews>
  <sheetFormatPr defaultRowHeight="15" x14ac:dyDescent="0.25"/>
  <cols>
    <col min="1" max="7" width="19.42578125" customWidth="1"/>
  </cols>
  <sheetData>
    <row r="1" spans="1:7" ht="37.5" customHeight="1" thickBot="1" x14ac:dyDescent="0.3">
      <c r="A1" s="22" t="s">
        <v>100</v>
      </c>
      <c r="B1" s="23" t="s">
        <v>101</v>
      </c>
      <c r="C1" s="23" t="s">
        <v>102</v>
      </c>
      <c r="D1" s="23" t="s">
        <v>3</v>
      </c>
      <c r="E1" s="23" t="s">
        <v>107</v>
      </c>
      <c r="F1" s="23" t="s">
        <v>104</v>
      </c>
      <c r="G1" s="24" t="s">
        <v>105</v>
      </c>
    </row>
    <row r="2" spans="1:7" ht="15.75" thickTop="1" x14ac:dyDescent="0.25">
      <c r="A2" t="s">
        <v>109</v>
      </c>
      <c r="B2" t="s">
        <v>108</v>
      </c>
      <c r="C2" t="s">
        <v>90</v>
      </c>
      <c r="D2" t="s">
        <v>96</v>
      </c>
      <c r="E2" s="5">
        <v>3</v>
      </c>
      <c r="F2" s="5" t="s">
        <v>116</v>
      </c>
      <c r="G2" s="25">
        <v>1750</v>
      </c>
    </row>
    <row r="3" spans="1:7" x14ac:dyDescent="0.25">
      <c r="A3" t="s">
        <v>109</v>
      </c>
      <c r="B3" t="s">
        <v>108</v>
      </c>
      <c r="C3" t="s">
        <v>91</v>
      </c>
      <c r="D3" t="s">
        <v>96</v>
      </c>
      <c r="E3" s="5">
        <v>5</v>
      </c>
      <c r="F3" s="5" t="s">
        <v>117</v>
      </c>
      <c r="G3" s="25">
        <v>2500</v>
      </c>
    </row>
    <row r="4" spans="1:7" x14ac:dyDescent="0.25">
      <c r="E4" s="5"/>
      <c r="F4" s="5"/>
      <c r="G4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1127-5041-4776-A8D5-B03352AF7313}">
  <sheetPr codeName="Sheet6"/>
  <dimension ref="A1:B413"/>
  <sheetViews>
    <sheetView workbookViewId="0"/>
  </sheetViews>
  <sheetFormatPr defaultRowHeight="15" x14ac:dyDescent="0.25"/>
  <cols>
    <col min="1" max="1" width="18" bestFit="1" customWidth="1"/>
    <col min="2" max="2" width="29" bestFit="1" customWidth="1"/>
    <col min="3" max="3" width="4.5703125" bestFit="1" customWidth="1"/>
    <col min="4" max="4" width="30" bestFit="1" customWidth="1"/>
    <col min="5" max="5" width="18.28515625" bestFit="1" customWidth="1"/>
    <col min="6" max="6" width="27" bestFit="1" customWidth="1"/>
    <col min="7" max="7" width="18.140625" bestFit="1" customWidth="1"/>
  </cols>
  <sheetData>
    <row r="1" spans="1:2" x14ac:dyDescent="0.25">
      <c r="A1" s="27" t="s">
        <v>119</v>
      </c>
      <c r="B1" s="28" t="s">
        <v>120</v>
      </c>
    </row>
    <row r="2" spans="1:2" x14ac:dyDescent="0.25">
      <c r="A2" s="27" t="s">
        <v>121</v>
      </c>
      <c r="B2" s="28" t="s">
        <v>89</v>
      </c>
    </row>
    <row r="3" spans="1:2" x14ac:dyDescent="0.25">
      <c r="A3" s="27" t="s">
        <v>122</v>
      </c>
      <c r="B3" s="26">
        <v>2.7</v>
      </c>
    </row>
    <row r="4" spans="1:2" x14ac:dyDescent="0.25">
      <c r="A4" s="27" t="s">
        <v>123</v>
      </c>
      <c r="B4" s="28" t="s">
        <v>124</v>
      </c>
    </row>
    <row r="5" spans="1:2" x14ac:dyDescent="0.25">
      <c r="A5" s="27" t="s">
        <v>125</v>
      </c>
      <c r="B5" s="28" t="s">
        <v>126</v>
      </c>
    </row>
    <row r="6" spans="1:2" x14ac:dyDescent="0.25">
      <c r="A6" s="27" t="s">
        <v>127</v>
      </c>
      <c r="B6" s="28" t="s">
        <v>128</v>
      </c>
    </row>
    <row r="7" spans="1:2" x14ac:dyDescent="0.25">
      <c r="A7" s="27" t="s">
        <v>129</v>
      </c>
      <c r="B7" s="28" t="s">
        <v>130</v>
      </c>
    </row>
    <row r="8" spans="1:2" x14ac:dyDescent="0.25">
      <c r="A8" s="27" t="s">
        <v>119</v>
      </c>
      <c r="B8" s="28" t="s">
        <v>131</v>
      </c>
    </row>
    <row r="9" spans="1:2" x14ac:dyDescent="0.25">
      <c r="A9" s="27" t="s">
        <v>121</v>
      </c>
      <c r="B9" s="28" t="s">
        <v>132</v>
      </c>
    </row>
    <row r="10" spans="1:2" x14ac:dyDescent="0.25">
      <c r="A10" s="27" t="s">
        <v>122</v>
      </c>
      <c r="B10" s="26">
        <v>2.5</v>
      </c>
    </row>
    <row r="11" spans="1:2" x14ac:dyDescent="0.25">
      <c r="A11" s="27" t="s">
        <v>123</v>
      </c>
      <c r="B11" s="28" t="s">
        <v>133</v>
      </c>
    </row>
    <row r="12" spans="1:2" x14ac:dyDescent="0.25">
      <c r="A12" s="27" t="s">
        <v>125</v>
      </c>
      <c r="B12" s="28" t="s">
        <v>134</v>
      </c>
    </row>
    <row r="13" spans="1:2" x14ac:dyDescent="0.25">
      <c r="A13" s="27" t="s">
        <v>127</v>
      </c>
      <c r="B13" s="28" t="s">
        <v>135</v>
      </c>
    </row>
    <row r="14" spans="1:2" x14ac:dyDescent="0.25">
      <c r="A14" s="27" t="s">
        <v>129</v>
      </c>
      <c r="B14" s="28" t="s">
        <v>136</v>
      </c>
    </row>
    <row r="15" spans="1:2" x14ac:dyDescent="0.25">
      <c r="A15" s="27" t="s">
        <v>119</v>
      </c>
      <c r="B15" s="28" t="s">
        <v>137</v>
      </c>
    </row>
    <row r="16" spans="1:2" x14ac:dyDescent="0.25">
      <c r="A16" s="27" t="s">
        <v>121</v>
      </c>
      <c r="B16" s="28" t="s">
        <v>132</v>
      </c>
    </row>
    <row r="17" spans="1:2" x14ac:dyDescent="0.25">
      <c r="A17" s="27" t="s">
        <v>122</v>
      </c>
      <c r="B17" s="26">
        <v>3.9</v>
      </c>
    </row>
    <row r="18" spans="1:2" x14ac:dyDescent="0.25">
      <c r="A18" s="27" t="s">
        <v>123</v>
      </c>
      <c r="B18" s="28" t="s">
        <v>138</v>
      </c>
    </row>
    <row r="19" spans="1:2" x14ac:dyDescent="0.25">
      <c r="A19" s="27" t="s">
        <v>125</v>
      </c>
      <c r="B19" s="28" t="s">
        <v>139</v>
      </c>
    </row>
    <row r="20" spans="1:2" x14ac:dyDescent="0.25">
      <c r="A20" s="27" t="s">
        <v>127</v>
      </c>
      <c r="B20" s="28" t="s">
        <v>140</v>
      </c>
    </row>
    <row r="21" spans="1:2" x14ac:dyDescent="0.25">
      <c r="A21" s="27" t="s">
        <v>129</v>
      </c>
      <c r="B21" s="28" t="s">
        <v>141</v>
      </c>
    </row>
    <row r="22" spans="1:2" x14ac:dyDescent="0.25">
      <c r="A22" s="27" t="s">
        <v>119</v>
      </c>
      <c r="B22" s="28" t="s">
        <v>142</v>
      </c>
    </row>
    <row r="23" spans="1:2" x14ac:dyDescent="0.25">
      <c r="A23" s="27" t="s">
        <v>121</v>
      </c>
      <c r="B23" s="28" t="s">
        <v>143</v>
      </c>
    </row>
    <row r="24" spans="1:2" x14ac:dyDescent="0.25">
      <c r="A24" s="27" t="s">
        <v>122</v>
      </c>
      <c r="B24" s="26">
        <v>3.3</v>
      </c>
    </row>
    <row r="25" spans="1:2" x14ac:dyDescent="0.25">
      <c r="A25" s="27" t="s">
        <v>123</v>
      </c>
      <c r="B25" s="28" t="s">
        <v>144</v>
      </c>
    </row>
    <row r="26" spans="1:2" x14ac:dyDescent="0.25">
      <c r="A26" s="27" t="s">
        <v>125</v>
      </c>
      <c r="B26" s="28" t="s">
        <v>145</v>
      </c>
    </row>
    <row r="27" spans="1:2" x14ac:dyDescent="0.25">
      <c r="A27" s="27" t="s">
        <v>127</v>
      </c>
      <c r="B27" s="28" t="s">
        <v>146</v>
      </c>
    </row>
    <row r="28" spans="1:2" x14ac:dyDescent="0.25">
      <c r="A28" s="27" t="s">
        <v>129</v>
      </c>
      <c r="B28" s="28" t="s">
        <v>147</v>
      </c>
    </row>
    <row r="29" spans="1:2" x14ac:dyDescent="0.25">
      <c r="A29" s="27" t="s">
        <v>119</v>
      </c>
      <c r="B29" s="28" t="s">
        <v>148</v>
      </c>
    </row>
    <row r="30" spans="1:2" x14ac:dyDescent="0.25">
      <c r="A30" s="27" t="s">
        <v>121</v>
      </c>
      <c r="B30" s="28" t="s">
        <v>91</v>
      </c>
    </row>
    <row r="31" spans="1:2" x14ac:dyDescent="0.25">
      <c r="A31" s="27" t="s">
        <v>122</v>
      </c>
      <c r="B31" s="26">
        <v>2.9</v>
      </c>
    </row>
    <row r="32" spans="1:2" x14ac:dyDescent="0.25">
      <c r="A32" s="27" t="s">
        <v>123</v>
      </c>
      <c r="B32" s="28" t="s">
        <v>149</v>
      </c>
    </row>
    <row r="33" spans="1:2" x14ac:dyDescent="0.25">
      <c r="A33" s="27" t="s">
        <v>125</v>
      </c>
      <c r="B33" s="28" t="s">
        <v>150</v>
      </c>
    </row>
    <row r="34" spans="1:2" x14ac:dyDescent="0.25">
      <c r="A34" s="27" t="s">
        <v>127</v>
      </c>
      <c r="B34" s="28" t="s">
        <v>151</v>
      </c>
    </row>
    <row r="35" spans="1:2" x14ac:dyDescent="0.25">
      <c r="A35" s="27" t="s">
        <v>129</v>
      </c>
      <c r="B35" s="28" t="s">
        <v>152</v>
      </c>
    </row>
    <row r="36" spans="1:2" x14ac:dyDescent="0.25">
      <c r="A36" s="27" t="s">
        <v>119</v>
      </c>
      <c r="B36" s="28" t="s">
        <v>153</v>
      </c>
    </row>
    <row r="37" spans="1:2" x14ac:dyDescent="0.25">
      <c r="A37" s="27" t="s">
        <v>121</v>
      </c>
      <c r="B37" s="28" t="s">
        <v>90</v>
      </c>
    </row>
    <row r="38" spans="1:2" x14ac:dyDescent="0.25">
      <c r="A38" s="27" t="s">
        <v>122</v>
      </c>
      <c r="B38" s="26">
        <v>2.6</v>
      </c>
    </row>
    <row r="39" spans="1:2" x14ac:dyDescent="0.25">
      <c r="A39" s="27" t="s">
        <v>123</v>
      </c>
      <c r="B39" s="28" t="s">
        <v>154</v>
      </c>
    </row>
    <row r="40" spans="1:2" x14ac:dyDescent="0.25">
      <c r="A40" s="27" t="s">
        <v>125</v>
      </c>
      <c r="B40" s="28" t="s">
        <v>155</v>
      </c>
    </row>
    <row r="41" spans="1:2" x14ac:dyDescent="0.25">
      <c r="A41" s="27" t="s">
        <v>127</v>
      </c>
      <c r="B41" s="28" t="s">
        <v>156</v>
      </c>
    </row>
    <row r="42" spans="1:2" x14ac:dyDescent="0.25">
      <c r="A42" s="27" t="s">
        <v>129</v>
      </c>
      <c r="B42" s="28" t="s">
        <v>157</v>
      </c>
    </row>
    <row r="43" spans="1:2" x14ac:dyDescent="0.25">
      <c r="A43" s="27" t="s">
        <v>119</v>
      </c>
      <c r="B43" s="28" t="s">
        <v>158</v>
      </c>
    </row>
    <row r="44" spans="1:2" x14ac:dyDescent="0.25">
      <c r="A44" s="27" t="s">
        <v>121</v>
      </c>
      <c r="B44" s="28" t="s">
        <v>159</v>
      </c>
    </row>
    <row r="45" spans="1:2" x14ac:dyDescent="0.25">
      <c r="A45" s="27" t="s">
        <v>122</v>
      </c>
      <c r="B45" s="26">
        <v>3.8</v>
      </c>
    </row>
    <row r="46" spans="1:2" x14ac:dyDescent="0.25">
      <c r="A46" s="27" t="s">
        <v>123</v>
      </c>
      <c r="B46" s="28" t="s">
        <v>160</v>
      </c>
    </row>
    <row r="47" spans="1:2" x14ac:dyDescent="0.25">
      <c r="A47" s="27" t="s">
        <v>125</v>
      </c>
      <c r="B47" s="28" t="s">
        <v>139</v>
      </c>
    </row>
    <row r="48" spans="1:2" x14ac:dyDescent="0.25">
      <c r="A48" s="27" t="s">
        <v>127</v>
      </c>
      <c r="B48" s="28" t="s">
        <v>161</v>
      </c>
    </row>
    <row r="49" spans="1:2" x14ac:dyDescent="0.25">
      <c r="A49" s="27" t="s">
        <v>129</v>
      </c>
      <c r="B49" s="28" t="s">
        <v>162</v>
      </c>
    </row>
    <row r="50" spans="1:2" x14ac:dyDescent="0.25">
      <c r="A50" s="27" t="s">
        <v>119</v>
      </c>
      <c r="B50" s="28" t="s">
        <v>163</v>
      </c>
    </row>
    <row r="51" spans="1:2" x14ac:dyDescent="0.25">
      <c r="A51" s="27" t="s">
        <v>121</v>
      </c>
      <c r="B51" s="28" t="s">
        <v>164</v>
      </c>
    </row>
    <row r="52" spans="1:2" x14ac:dyDescent="0.25">
      <c r="A52" s="27" t="s">
        <v>122</v>
      </c>
      <c r="B52" s="26">
        <v>3.9</v>
      </c>
    </row>
    <row r="53" spans="1:2" x14ac:dyDescent="0.25">
      <c r="A53" s="27" t="s">
        <v>123</v>
      </c>
      <c r="B53" s="28" t="s">
        <v>165</v>
      </c>
    </row>
    <row r="54" spans="1:2" x14ac:dyDescent="0.25">
      <c r="A54" s="27" t="s">
        <v>125</v>
      </c>
      <c r="B54" s="28" t="s">
        <v>166</v>
      </c>
    </row>
    <row r="55" spans="1:2" x14ac:dyDescent="0.25">
      <c r="A55" s="27" t="s">
        <v>127</v>
      </c>
      <c r="B55" s="28" t="s">
        <v>167</v>
      </c>
    </row>
    <row r="56" spans="1:2" x14ac:dyDescent="0.25">
      <c r="A56" s="27" t="s">
        <v>129</v>
      </c>
      <c r="B56" s="28" t="s">
        <v>168</v>
      </c>
    </row>
    <row r="57" spans="1:2" x14ac:dyDescent="0.25">
      <c r="A57" s="27" t="s">
        <v>119</v>
      </c>
      <c r="B57" s="28" t="s">
        <v>169</v>
      </c>
    </row>
    <row r="58" spans="1:2" x14ac:dyDescent="0.25">
      <c r="A58" s="27" t="s">
        <v>121</v>
      </c>
      <c r="B58" s="28" t="s">
        <v>89</v>
      </c>
    </row>
    <row r="59" spans="1:2" x14ac:dyDescent="0.25">
      <c r="A59" s="27" t="s">
        <v>122</v>
      </c>
      <c r="B59" s="26">
        <v>3.5</v>
      </c>
    </row>
    <row r="60" spans="1:2" x14ac:dyDescent="0.25">
      <c r="A60" s="27" t="s">
        <v>123</v>
      </c>
      <c r="B60" s="28" t="s">
        <v>170</v>
      </c>
    </row>
    <row r="61" spans="1:2" x14ac:dyDescent="0.25">
      <c r="A61" s="27" t="s">
        <v>125</v>
      </c>
      <c r="B61" s="28" t="s">
        <v>171</v>
      </c>
    </row>
    <row r="62" spans="1:2" x14ac:dyDescent="0.25">
      <c r="A62" s="27" t="s">
        <v>127</v>
      </c>
      <c r="B62" s="28" t="s">
        <v>135</v>
      </c>
    </row>
    <row r="63" spans="1:2" x14ac:dyDescent="0.25">
      <c r="A63" s="27" t="s">
        <v>129</v>
      </c>
      <c r="B63" s="28" t="s">
        <v>172</v>
      </c>
    </row>
    <row r="64" spans="1:2" x14ac:dyDescent="0.25">
      <c r="A64" s="27" t="s">
        <v>119</v>
      </c>
      <c r="B64" s="28" t="s">
        <v>173</v>
      </c>
    </row>
    <row r="65" spans="1:2" x14ac:dyDescent="0.25">
      <c r="A65" s="27" t="s">
        <v>121</v>
      </c>
      <c r="B65" s="28" t="s">
        <v>174</v>
      </c>
    </row>
    <row r="66" spans="1:2" x14ac:dyDescent="0.25">
      <c r="A66" s="27" t="s">
        <v>122</v>
      </c>
      <c r="B66" s="26">
        <v>2.9</v>
      </c>
    </row>
    <row r="67" spans="1:2" x14ac:dyDescent="0.25">
      <c r="A67" s="27" t="s">
        <v>123</v>
      </c>
      <c r="B67" s="28" t="s">
        <v>175</v>
      </c>
    </row>
    <row r="68" spans="1:2" x14ac:dyDescent="0.25">
      <c r="A68" s="27" t="s">
        <v>125</v>
      </c>
      <c r="B68" s="28" t="s">
        <v>176</v>
      </c>
    </row>
    <row r="69" spans="1:2" x14ac:dyDescent="0.25">
      <c r="A69" s="27" t="s">
        <v>127</v>
      </c>
      <c r="B69" s="28" t="s">
        <v>177</v>
      </c>
    </row>
    <row r="70" spans="1:2" x14ac:dyDescent="0.25">
      <c r="A70" s="27" t="s">
        <v>129</v>
      </c>
      <c r="B70" s="28" t="s">
        <v>178</v>
      </c>
    </row>
    <row r="71" spans="1:2" x14ac:dyDescent="0.25">
      <c r="A71" s="27" t="s">
        <v>119</v>
      </c>
      <c r="B71" s="28" t="s">
        <v>179</v>
      </c>
    </row>
    <row r="72" spans="1:2" x14ac:dyDescent="0.25">
      <c r="A72" s="27" t="s">
        <v>121</v>
      </c>
      <c r="B72" s="28" t="s">
        <v>132</v>
      </c>
    </row>
    <row r="73" spans="1:2" x14ac:dyDescent="0.25">
      <c r="A73" s="27" t="s">
        <v>122</v>
      </c>
      <c r="B73" s="26">
        <v>3.1</v>
      </c>
    </row>
    <row r="74" spans="1:2" x14ac:dyDescent="0.25">
      <c r="A74" s="27" t="s">
        <v>123</v>
      </c>
      <c r="B74" s="28" t="s">
        <v>180</v>
      </c>
    </row>
    <row r="75" spans="1:2" x14ac:dyDescent="0.25">
      <c r="A75" s="27" t="s">
        <v>125</v>
      </c>
      <c r="B75" s="28" t="s">
        <v>181</v>
      </c>
    </row>
    <row r="76" spans="1:2" x14ac:dyDescent="0.25">
      <c r="A76" s="27" t="s">
        <v>127</v>
      </c>
      <c r="B76" s="28" t="s">
        <v>182</v>
      </c>
    </row>
    <row r="77" spans="1:2" x14ac:dyDescent="0.25">
      <c r="A77" s="27" t="s">
        <v>129</v>
      </c>
      <c r="B77" s="28" t="s">
        <v>183</v>
      </c>
    </row>
    <row r="78" spans="1:2" x14ac:dyDescent="0.25">
      <c r="A78" s="27" t="s">
        <v>119</v>
      </c>
      <c r="B78" s="28" t="s">
        <v>184</v>
      </c>
    </row>
    <row r="79" spans="1:2" x14ac:dyDescent="0.25">
      <c r="A79" s="27" t="s">
        <v>121</v>
      </c>
      <c r="B79" s="28" t="s">
        <v>143</v>
      </c>
    </row>
    <row r="80" spans="1:2" x14ac:dyDescent="0.25">
      <c r="A80" s="27" t="s">
        <v>122</v>
      </c>
      <c r="B80" s="26">
        <v>3.3</v>
      </c>
    </row>
    <row r="81" spans="1:2" x14ac:dyDescent="0.25">
      <c r="A81" s="27" t="s">
        <v>123</v>
      </c>
      <c r="B81" s="28" t="s">
        <v>185</v>
      </c>
    </row>
    <row r="82" spans="1:2" x14ac:dyDescent="0.25">
      <c r="A82" s="27" t="s">
        <v>125</v>
      </c>
      <c r="B82" s="28" t="s">
        <v>186</v>
      </c>
    </row>
    <row r="83" spans="1:2" x14ac:dyDescent="0.25">
      <c r="A83" s="27" t="s">
        <v>127</v>
      </c>
      <c r="B83" s="28" t="s">
        <v>187</v>
      </c>
    </row>
    <row r="84" spans="1:2" x14ac:dyDescent="0.25">
      <c r="A84" s="27" t="s">
        <v>129</v>
      </c>
      <c r="B84" s="28" t="s">
        <v>188</v>
      </c>
    </row>
    <row r="85" spans="1:2" x14ac:dyDescent="0.25">
      <c r="A85" s="27" t="s">
        <v>119</v>
      </c>
      <c r="B85" s="28" t="s">
        <v>189</v>
      </c>
    </row>
    <row r="86" spans="1:2" x14ac:dyDescent="0.25">
      <c r="A86" s="27" t="s">
        <v>121</v>
      </c>
      <c r="B86" s="28" t="s">
        <v>91</v>
      </c>
    </row>
    <row r="87" spans="1:2" x14ac:dyDescent="0.25">
      <c r="A87" s="27" t="s">
        <v>122</v>
      </c>
      <c r="B87" s="26">
        <v>2.6</v>
      </c>
    </row>
    <row r="88" spans="1:2" x14ac:dyDescent="0.25">
      <c r="A88" s="27" t="s">
        <v>123</v>
      </c>
      <c r="B88" s="28" t="s">
        <v>190</v>
      </c>
    </row>
    <row r="89" spans="1:2" x14ac:dyDescent="0.25">
      <c r="A89" s="27" t="s">
        <v>125</v>
      </c>
      <c r="B89" s="28" t="s">
        <v>191</v>
      </c>
    </row>
    <row r="90" spans="1:2" x14ac:dyDescent="0.25">
      <c r="A90" s="27" t="s">
        <v>127</v>
      </c>
      <c r="B90" s="28" t="s">
        <v>192</v>
      </c>
    </row>
    <row r="91" spans="1:2" x14ac:dyDescent="0.25">
      <c r="A91" s="27" t="s">
        <v>129</v>
      </c>
      <c r="B91" s="28" t="s">
        <v>193</v>
      </c>
    </row>
    <row r="92" spans="1:2" x14ac:dyDescent="0.25">
      <c r="A92" s="27" t="s">
        <v>119</v>
      </c>
      <c r="B92" s="28" t="s">
        <v>194</v>
      </c>
    </row>
    <row r="93" spans="1:2" x14ac:dyDescent="0.25">
      <c r="A93" s="27" t="s">
        <v>121</v>
      </c>
      <c r="B93" s="28" t="s">
        <v>90</v>
      </c>
    </row>
    <row r="94" spans="1:2" x14ac:dyDescent="0.25">
      <c r="A94" s="27" t="s">
        <v>122</v>
      </c>
      <c r="B94" s="26">
        <v>3.5</v>
      </c>
    </row>
    <row r="95" spans="1:2" x14ac:dyDescent="0.25">
      <c r="A95" s="27" t="s">
        <v>123</v>
      </c>
      <c r="B95" s="28" t="s">
        <v>195</v>
      </c>
    </row>
    <row r="96" spans="1:2" x14ac:dyDescent="0.25">
      <c r="A96" s="27" t="s">
        <v>125</v>
      </c>
      <c r="B96" s="28" t="s">
        <v>155</v>
      </c>
    </row>
    <row r="97" spans="1:2" x14ac:dyDescent="0.25">
      <c r="A97" s="27" t="s">
        <v>127</v>
      </c>
      <c r="B97" s="28" t="s">
        <v>196</v>
      </c>
    </row>
    <row r="98" spans="1:2" x14ac:dyDescent="0.25">
      <c r="A98" s="27" t="s">
        <v>129</v>
      </c>
      <c r="B98" s="28" t="s">
        <v>197</v>
      </c>
    </row>
    <row r="99" spans="1:2" x14ac:dyDescent="0.25">
      <c r="A99" s="27" t="s">
        <v>119</v>
      </c>
      <c r="B99" s="28" t="s">
        <v>198</v>
      </c>
    </row>
    <row r="100" spans="1:2" x14ac:dyDescent="0.25">
      <c r="A100" s="27" t="s">
        <v>121</v>
      </c>
      <c r="B100" s="28" t="s">
        <v>159</v>
      </c>
    </row>
    <row r="101" spans="1:2" x14ac:dyDescent="0.25">
      <c r="A101" s="27" t="s">
        <v>122</v>
      </c>
      <c r="B101" s="26">
        <v>3</v>
      </c>
    </row>
    <row r="102" spans="1:2" x14ac:dyDescent="0.25">
      <c r="A102" s="27" t="s">
        <v>123</v>
      </c>
      <c r="B102" s="28" t="s">
        <v>199</v>
      </c>
    </row>
    <row r="103" spans="1:2" x14ac:dyDescent="0.25">
      <c r="A103" s="27" t="s">
        <v>125</v>
      </c>
      <c r="B103" s="28" t="s">
        <v>145</v>
      </c>
    </row>
    <row r="104" spans="1:2" x14ac:dyDescent="0.25">
      <c r="A104" s="27" t="s">
        <v>127</v>
      </c>
      <c r="B104" s="28" t="s">
        <v>200</v>
      </c>
    </row>
    <row r="105" spans="1:2" x14ac:dyDescent="0.25">
      <c r="A105" s="27" t="s">
        <v>129</v>
      </c>
      <c r="B105" s="28" t="s">
        <v>201</v>
      </c>
    </row>
    <row r="106" spans="1:2" x14ac:dyDescent="0.25">
      <c r="A106" s="27" t="s">
        <v>119</v>
      </c>
      <c r="B106" s="28" t="s">
        <v>202</v>
      </c>
    </row>
    <row r="107" spans="1:2" x14ac:dyDescent="0.25">
      <c r="A107" s="27" t="s">
        <v>121</v>
      </c>
      <c r="B107" s="28" t="s">
        <v>164</v>
      </c>
    </row>
    <row r="108" spans="1:2" x14ac:dyDescent="0.25">
      <c r="A108" s="27" t="s">
        <v>122</v>
      </c>
      <c r="B108" s="26">
        <v>3.4</v>
      </c>
    </row>
    <row r="109" spans="1:2" x14ac:dyDescent="0.25">
      <c r="A109" s="27" t="s">
        <v>123</v>
      </c>
      <c r="B109" s="28" t="s">
        <v>203</v>
      </c>
    </row>
    <row r="110" spans="1:2" x14ac:dyDescent="0.25">
      <c r="A110" s="27" t="s">
        <v>125</v>
      </c>
      <c r="B110" s="28" t="s">
        <v>204</v>
      </c>
    </row>
    <row r="111" spans="1:2" x14ac:dyDescent="0.25">
      <c r="A111" s="27" t="s">
        <v>127</v>
      </c>
      <c r="B111" s="28" t="s">
        <v>205</v>
      </c>
    </row>
    <row r="112" spans="1:2" x14ac:dyDescent="0.25">
      <c r="A112" s="27" t="s">
        <v>129</v>
      </c>
      <c r="B112" s="28" t="s">
        <v>206</v>
      </c>
    </row>
    <row r="113" spans="1:2" x14ac:dyDescent="0.25">
      <c r="A113" s="27" t="s">
        <v>119</v>
      </c>
      <c r="B113" s="28" t="s">
        <v>207</v>
      </c>
    </row>
    <row r="114" spans="1:2" x14ac:dyDescent="0.25">
      <c r="A114" s="27" t="s">
        <v>121</v>
      </c>
      <c r="B114" s="28" t="s">
        <v>89</v>
      </c>
    </row>
    <row r="115" spans="1:2" x14ac:dyDescent="0.25">
      <c r="A115" s="27" t="s">
        <v>122</v>
      </c>
      <c r="B115" s="26">
        <v>3.8</v>
      </c>
    </row>
    <row r="116" spans="1:2" x14ac:dyDescent="0.25">
      <c r="A116" s="27" t="s">
        <v>123</v>
      </c>
      <c r="B116" s="28" t="s">
        <v>208</v>
      </c>
    </row>
    <row r="117" spans="1:2" x14ac:dyDescent="0.25">
      <c r="A117" s="27" t="s">
        <v>125</v>
      </c>
      <c r="B117" s="28" t="s">
        <v>155</v>
      </c>
    </row>
    <row r="118" spans="1:2" x14ac:dyDescent="0.25">
      <c r="A118" s="27" t="s">
        <v>127</v>
      </c>
      <c r="B118" s="28" t="s">
        <v>209</v>
      </c>
    </row>
    <row r="119" spans="1:2" x14ac:dyDescent="0.25">
      <c r="A119" s="27" t="s">
        <v>129</v>
      </c>
      <c r="B119" s="28" t="s">
        <v>210</v>
      </c>
    </row>
    <row r="120" spans="1:2" x14ac:dyDescent="0.25">
      <c r="A120" s="27" t="s">
        <v>119</v>
      </c>
      <c r="B120" s="28" t="s">
        <v>211</v>
      </c>
    </row>
    <row r="121" spans="1:2" x14ac:dyDescent="0.25">
      <c r="A121" s="27" t="s">
        <v>121</v>
      </c>
      <c r="B121" s="28" t="s">
        <v>174</v>
      </c>
    </row>
    <row r="122" spans="1:2" x14ac:dyDescent="0.25">
      <c r="A122" s="27" t="s">
        <v>122</v>
      </c>
      <c r="B122" s="26">
        <v>3.9</v>
      </c>
    </row>
    <row r="123" spans="1:2" x14ac:dyDescent="0.25">
      <c r="A123" s="27" t="s">
        <v>123</v>
      </c>
      <c r="B123" s="28" t="s">
        <v>212</v>
      </c>
    </row>
    <row r="124" spans="1:2" x14ac:dyDescent="0.25">
      <c r="A124" s="27" t="s">
        <v>125</v>
      </c>
      <c r="B124" s="28" t="s">
        <v>126</v>
      </c>
    </row>
    <row r="125" spans="1:2" x14ac:dyDescent="0.25">
      <c r="A125" s="27" t="s">
        <v>127</v>
      </c>
      <c r="B125" s="28" t="s">
        <v>213</v>
      </c>
    </row>
    <row r="126" spans="1:2" x14ac:dyDescent="0.25">
      <c r="A126" s="27" t="s">
        <v>129</v>
      </c>
      <c r="B126" s="28" t="s">
        <v>214</v>
      </c>
    </row>
    <row r="127" spans="1:2" x14ac:dyDescent="0.25">
      <c r="A127" s="27" t="s">
        <v>119</v>
      </c>
      <c r="B127" s="28" t="s">
        <v>215</v>
      </c>
    </row>
    <row r="128" spans="1:2" x14ac:dyDescent="0.25">
      <c r="A128" s="27" t="s">
        <v>121</v>
      </c>
      <c r="B128" s="28" t="s">
        <v>132</v>
      </c>
    </row>
    <row r="129" spans="1:2" x14ac:dyDescent="0.25">
      <c r="A129" s="27" t="s">
        <v>122</v>
      </c>
      <c r="B129" s="26">
        <v>2.8</v>
      </c>
    </row>
    <row r="130" spans="1:2" x14ac:dyDescent="0.25">
      <c r="A130" s="27" t="s">
        <v>123</v>
      </c>
      <c r="B130" s="28" t="s">
        <v>216</v>
      </c>
    </row>
    <row r="131" spans="1:2" x14ac:dyDescent="0.25">
      <c r="A131" s="27" t="s">
        <v>125</v>
      </c>
      <c r="B131" s="28" t="s">
        <v>139</v>
      </c>
    </row>
    <row r="132" spans="1:2" x14ac:dyDescent="0.25">
      <c r="A132" s="27" t="s">
        <v>127</v>
      </c>
      <c r="B132" s="28" t="s">
        <v>217</v>
      </c>
    </row>
    <row r="133" spans="1:2" x14ac:dyDescent="0.25">
      <c r="A133" s="27" t="s">
        <v>129</v>
      </c>
      <c r="B133" s="28" t="s">
        <v>218</v>
      </c>
    </row>
    <row r="134" spans="1:2" x14ac:dyDescent="0.25">
      <c r="A134" s="27" t="s">
        <v>119</v>
      </c>
      <c r="B134" s="28" t="s">
        <v>219</v>
      </c>
    </row>
    <row r="135" spans="1:2" x14ac:dyDescent="0.25">
      <c r="A135" s="27" t="s">
        <v>121</v>
      </c>
      <c r="B135" s="28" t="s">
        <v>143</v>
      </c>
    </row>
    <row r="136" spans="1:2" x14ac:dyDescent="0.25">
      <c r="A136" s="27" t="s">
        <v>122</v>
      </c>
      <c r="B136" s="26">
        <v>2.7</v>
      </c>
    </row>
    <row r="137" spans="1:2" x14ac:dyDescent="0.25">
      <c r="A137" s="27" t="s">
        <v>123</v>
      </c>
      <c r="B137" s="28" t="s">
        <v>220</v>
      </c>
    </row>
    <row r="138" spans="1:2" x14ac:dyDescent="0.25">
      <c r="A138" s="27" t="s">
        <v>125</v>
      </c>
      <c r="B138" s="28" t="s">
        <v>221</v>
      </c>
    </row>
    <row r="139" spans="1:2" x14ac:dyDescent="0.25">
      <c r="A139" s="27" t="s">
        <v>127</v>
      </c>
      <c r="B139" s="28" t="s">
        <v>222</v>
      </c>
    </row>
    <row r="140" spans="1:2" x14ac:dyDescent="0.25">
      <c r="A140" s="27" t="s">
        <v>129</v>
      </c>
      <c r="B140" s="28" t="s">
        <v>223</v>
      </c>
    </row>
    <row r="141" spans="1:2" x14ac:dyDescent="0.25">
      <c r="A141" s="27" t="s">
        <v>119</v>
      </c>
      <c r="B141" s="28" t="s">
        <v>224</v>
      </c>
    </row>
    <row r="142" spans="1:2" x14ac:dyDescent="0.25">
      <c r="A142" s="27" t="s">
        <v>121</v>
      </c>
      <c r="B142" s="28" t="s">
        <v>91</v>
      </c>
    </row>
    <row r="143" spans="1:2" x14ac:dyDescent="0.25">
      <c r="A143" s="27" t="s">
        <v>122</v>
      </c>
      <c r="B143" s="26">
        <v>4</v>
      </c>
    </row>
    <row r="144" spans="1:2" x14ac:dyDescent="0.25">
      <c r="A144" s="27" t="s">
        <v>123</v>
      </c>
      <c r="B144" s="28" t="s">
        <v>225</v>
      </c>
    </row>
    <row r="145" spans="1:2" x14ac:dyDescent="0.25">
      <c r="A145" s="27" t="s">
        <v>125</v>
      </c>
      <c r="B145" s="28" t="s">
        <v>226</v>
      </c>
    </row>
    <row r="146" spans="1:2" x14ac:dyDescent="0.25">
      <c r="A146" s="27" t="s">
        <v>127</v>
      </c>
      <c r="B146" s="28" t="s">
        <v>227</v>
      </c>
    </row>
    <row r="147" spans="1:2" x14ac:dyDescent="0.25">
      <c r="A147" s="27" t="s">
        <v>129</v>
      </c>
      <c r="B147" s="28" t="s">
        <v>228</v>
      </c>
    </row>
    <row r="148" spans="1:2" x14ac:dyDescent="0.25">
      <c r="A148" s="27" t="s">
        <v>119</v>
      </c>
      <c r="B148" s="28" t="s">
        <v>229</v>
      </c>
    </row>
    <row r="149" spans="1:2" x14ac:dyDescent="0.25">
      <c r="A149" s="27" t="s">
        <v>121</v>
      </c>
      <c r="B149" s="28" t="s">
        <v>90</v>
      </c>
    </row>
    <row r="150" spans="1:2" x14ac:dyDescent="0.25">
      <c r="A150" s="27" t="s">
        <v>122</v>
      </c>
      <c r="B150" s="26">
        <v>3.5</v>
      </c>
    </row>
    <row r="151" spans="1:2" x14ac:dyDescent="0.25">
      <c r="A151" s="27" t="s">
        <v>123</v>
      </c>
      <c r="B151" s="28" t="s">
        <v>230</v>
      </c>
    </row>
    <row r="152" spans="1:2" x14ac:dyDescent="0.25">
      <c r="A152" s="27" t="s">
        <v>125</v>
      </c>
      <c r="B152" s="28" t="s">
        <v>231</v>
      </c>
    </row>
    <row r="153" spans="1:2" x14ac:dyDescent="0.25">
      <c r="A153" s="27" t="s">
        <v>127</v>
      </c>
      <c r="B153" s="28" t="s">
        <v>232</v>
      </c>
    </row>
    <row r="154" spans="1:2" x14ac:dyDescent="0.25">
      <c r="A154" s="27" t="s">
        <v>129</v>
      </c>
      <c r="B154" s="28" t="s">
        <v>233</v>
      </c>
    </row>
    <row r="155" spans="1:2" x14ac:dyDescent="0.25">
      <c r="A155" s="27" t="s">
        <v>119</v>
      </c>
      <c r="B155" s="28" t="s">
        <v>234</v>
      </c>
    </row>
    <row r="156" spans="1:2" x14ac:dyDescent="0.25">
      <c r="A156" s="27" t="s">
        <v>121</v>
      </c>
      <c r="B156" s="28" t="s">
        <v>159</v>
      </c>
    </row>
    <row r="157" spans="1:2" x14ac:dyDescent="0.25">
      <c r="A157" s="27" t="s">
        <v>122</v>
      </c>
      <c r="B157" s="26">
        <v>3.8</v>
      </c>
    </row>
    <row r="158" spans="1:2" x14ac:dyDescent="0.25">
      <c r="A158" s="27" t="s">
        <v>123</v>
      </c>
      <c r="B158" s="28" t="s">
        <v>235</v>
      </c>
    </row>
    <row r="159" spans="1:2" x14ac:dyDescent="0.25">
      <c r="A159" s="27" t="s">
        <v>125</v>
      </c>
      <c r="B159" s="28" t="s">
        <v>236</v>
      </c>
    </row>
    <row r="160" spans="1:2" x14ac:dyDescent="0.25">
      <c r="A160" s="27" t="s">
        <v>127</v>
      </c>
      <c r="B160" s="28" t="s">
        <v>237</v>
      </c>
    </row>
    <row r="161" spans="1:2" x14ac:dyDescent="0.25">
      <c r="A161" s="27" t="s">
        <v>129</v>
      </c>
      <c r="B161" s="28" t="s">
        <v>238</v>
      </c>
    </row>
    <row r="162" spans="1:2" x14ac:dyDescent="0.25">
      <c r="A162" s="27" t="s">
        <v>119</v>
      </c>
      <c r="B162" s="28" t="s">
        <v>239</v>
      </c>
    </row>
    <row r="163" spans="1:2" x14ac:dyDescent="0.25">
      <c r="A163" s="27" t="s">
        <v>121</v>
      </c>
      <c r="B163" s="28" t="s">
        <v>164</v>
      </c>
    </row>
    <row r="164" spans="1:2" x14ac:dyDescent="0.25">
      <c r="A164" s="27" t="s">
        <v>122</v>
      </c>
      <c r="B164" s="26">
        <v>2.9</v>
      </c>
    </row>
    <row r="165" spans="1:2" x14ac:dyDescent="0.25">
      <c r="A165" s="27" t="s">
        <v>123</v>
      </c>
      <c r="B165" s="28" t="s">
        <v>240</v>
      </c>
    </row>
    <row r="166" spans="1:2" x14ac:dyDescent="0.25">
      <c r="A166" s="27" t="s">
        <v>125</v>
      </c>
      <c r="B166" s="28" t="s">
        <v>155</v>
      </c>
    </row>
    <row r="167" spans="1:2" x14ac:dyDescent="0.25">
      <c r="A167" s="27" t="s">
        <v>127</v>
      </c>
      <c r="B167" s="28" t="s">
        <v>241</v>
      </c>
    </row>
    <row r="168" spans="1:2" x14ac:dyDescent="0.25">
      <c r="A168" s="27" t="s">
        <v>129</v>
      </c>
      <c r="B168" s="28" t="s">
        <v>242</v>
      </c>
    </row>
    <row r="169" spans="1:2" x14ac:dyDescent="0.25">
      <c r="A169" s="27" t="s">
        <v>119</v>
      </c>
      <c r="B169" s="28" t="s">
        <v>243</v>
      </c>
    </row>
    <row r="170" spans="1:2" x14ac:dyDescent="0.25">
      <c r="A170" s="27" t="s">
        <v>121</v>
      </c>
      <c r="B170" s="28" t="s">
        <v>89</v>
      </c>
    </row>
    <row r="171" spans="1:2" x14ac:dyDescent="0.25">
      <c r="A171" s="27" t="s">
        <v>122</v>
      </c>
      <c r="B171" s="26">
        <v>3.6</v>
      </c>
    </row>
    <row r="172" spans="1:2" x14ac:dyDescent="0.25">
      <c r="A172" s="27" t="s">
        <v>123</v>
      </c>
      <c r="B172" s="28" t="s">
        <v>244</v>
      </c>
    </row>
    <row r="173" spans="1:2" x14ac:dyDescent="0.25">
      <c r="A173" s="27" t="s">
        <v>125</v>
      </c>
      <c r="B173" s="28" t="s">
        <v>245</v>
      </c>
    </row>
    <row r="174" spans="1:2" x14ac:dyDescent="0.25">
      <c r="A174" s="27" t="s">
        <v>127</v>
      </c>
      <c r="B174" s="28" t="s">
        <v>246</v>
      </c>
    </row>
    <row r="175" spans="1:2" x14ac:dyDescent="0.25">
      <c r="A175" s="27" t="s">
        <v>129</v>
      </c>
      <c r="B175" s="28" t="s">
        <v>247</v>
      </c>
    </row>
    <row r="176" spans="1:2" x14ac:dyDescent="0.25">
      <c r="A176" s="27" t="s">
        <v>119</v>
      </c>
      <c r="B176" s="28" t="s">
        <v>248</v>
      </c>
    </row>
    <row r="177" spans="1:2" x14ac:dyDescent="0.25">
      <c r="A177" s="27" t="s">
        <v>121</v>
      </c>
      <c r="B177" s="28" t="s">
        <v>174</v>
      </c>
    </row>
    <row r="178" spans="1:2" x14ac:dyDescent="0.25">
      <c r="A178" s="27" t="s">
        <v>122</v>
      </c>
      <c r="B178" s="26">
        <v>3.6</v>
      </c>
    </row>
    <row r="179" spans="1:2" x14ac:dyDescent="0.25">
      <c r="A179" s="27" t="s">
        <v>123</v>
      </c>
      <c r="B179" s="28" t="s">
        <v>249</v>
      </c>
    </row>
    <row r="180" spans="1:2" x14ac:dyDescent="0.25">
      <c r="A180" s="27" t="s">
        <v>125</v>
      </c>
      <c r="B180" s="28" t="s">
        <v>221</v>
      </c>
    </row>
    <row r="181" spans="1:2" x14ac:dyDescent="0.25">
      <c r="A181" s="27" t="s">
        <v>127</v>
      </c>
      <c r="B181" s="28" t="s">
        <v>250</v>
      </c>
    </row>
    <row r="182" spans="1:2" x14ac:dyDescent="0.25">
      <c r="A182" s="27" t="s">
        <v>129</v>
      </c>
      <c r="B182" s="28" t="s">
        <v>251</v>
      </c>
    </row>
    <row r="183" spans="1:2" x14ac:dyDescent="0.25">
      <c r="A183" s="27" t="s">
        <v>119</v>
      </c>
      <c r="B183" s="28" t="s">
        <v>252</v>
      </c>
    </row>
    <row r="184" spans="1:2" x14ac:dyDescent="0.25">
      <c r="A184" s="27" t="s">
        <v>121</v>
      </c>
      <c r="B184" s="28" t="s">
        <v>132</v>
      </c>
    </row>
    <row r="185" spans="1:2" x14ac:dyDescent="0.25">
      <c r="A185" s="27" t="s">
        <v>122</v>
      </c>
      <c r="B185" s="26">
        <v>3.8</v>
      </c>
    </row>
    <row r="186" spans="1:2" x14ac:dyDescent="0.25">
      <c r="A186" s="27" t="s">
        <v>123</v>
      </c>
      <c r="B186" s="28" t="s">
        <v>253</v>
      </c>
    </row>
    <row r="187" spans="1:2" x14ac:dyDescent="0.25">
      <c r="A187" s="27" t="s">
        <v>125</v>
      </c>
      <c r="B187" s="28" t="s">
        <v>139</v>
      </c>
    </row>
    <row r="188" spans="1:2" x14ac:dyDescent="0.25">
      <c r="A188" s="27" t="s">
        <v>127</v>
      </c>
      <c r="B188" s="28" t="s">
        <v>254</v>
      </c>
    </row>
    <row r="189" spans="1:2" x14ac:dyDescent="0.25">
      <c r="A189" s="27" t="s">
        <v>129</v>
      </c>
      <c r="B189" s="28" t="s">
        <v>255</v>
      </c>
    </row>
    <row r="190" spans="1:2" x14ac:dyDescent="0.25">
      <c r="A190" s="27" t="s">
        <v>119</v>
      </c>
      <c r="B190" s="28" t="s">
        <v>256</v>
      </c>
    </row>
    <row r="191" spans="1:2" x14ac:dyDescent="0.25">
      <c r="A191" s="27" t="s">
        <v>121</v>
      </c>
      <c r="B191" s="28" t="s">
        <v>143</v>
      </c>
    </row>
    <row r="192" spans="1:2" x14ac:dyDescent="0.25">
      <c r="A192" s="27" t="s">
        <v>122</v>
      </c>
      <c r="B192" s="26">
        <v>3.1</v>
      </c>
    </row>
    <row r="193" spans="1:2" x14ac:dyDescent="0.25">
      <c r="A193" s="27" t="s">
        <v>123</v>
      </c>
      <c r="B193" s="28" t="s">
        <v>257</v>
      </c>
    </row>
    <row r="194" spans="1:2" x14ac:dyDescent="0.25">
      <c r="A194" s="27" t="s">
        <v>125</v>
      </c>
      <c r="B194" s="28" t="s">
        <v>134</v>
      </c>
    </row>
    <row r="195" spans="1:2" x14ac:dyDescent="0.25">
      <c r="A195" s="27" t="s">
        <v>127</v>
      </c>
      <c r="B195" s="28" t="s">
        <v>258</v>
      </c>
    </row>
    <row r="196" spans="1:2" x14ac:dyDescent="0.25">
      <c r="A196" s="27" t="s">
        <v>129</v>
      </c>
      <c r="B196" s="28" t="s">
        <v>259</v>
      </c>
    </row>
    <row r="197" spans="1:2" x14ac:dyDescent="0.25">
      <c r="A197" s="27" t="s">
        <v>119</v>
      </c>
      <c r="B197" s="28" t="s">
        <v>260</v>
      </c>
    </row>
    <row r="198" spans="1:2" x14ac:dyDescent="0.25">
      <c r="A198" s="27" t="s">
        <v>121</v>
      </c>
      <c r="B198" s="28" t="s">
        <v>91</v>
      </c>
    </row>
    <row r="199" spans="1:2" x14ac:dyDescent="0.25">
      <c r="A199" s="27" t="s">
        <v>122</v>
      </c>
      <c r="B199" s="26">
        <v>2.7</v>
      </c>
    </row>
    <row r="200" spans="1:2" x14ac:dyDescent="0.25">
      <c r="A200" s="27" t="s">
        <v>123</v>
      </c>
      <c r="B200" s="28" t="s">
        <v>261</v>
      </c>
    </row>
    <row r="201" spans="1:2" x14ac:dyDescent="0.25">
      <c r="A201" s="27" t="s">
        <v>125</v>
      </c>
      <c r="B201" s="28" t="s">
        <v>226</v>
      </c>
    </row>
    <row r="202" spans="1:2" x14ac:dyDescent="0.25">
      <c r="A202" s="27" t="s">
        <v>127</v>
      </c>
      <c r="B202" s="28" t="s">
        <v>262</v>
      </c>
    </row>
    <row r="203" spans="1:2" x14ac:dyDescent="0.25">
      <c r="A203" s="27" t="s">
        <v>129</v>
      </c>
      <c r="B203" s="28" t="s">
        <v>263</v>
      </c>
    </row>
    <row r="204" spans="1:2" x14ac:dyDescent="0.25">
      <c r="A204" s="27" t="s">
        <v>119</v>
      </c>
      <c r="B204" s="28" t="s">
        <v>264</v>
      </c>
    </row>
    <row r="205" spans="1:2" x14ac:dyDescent="0.25">
      <c r="A205" s="27" t="s">
        <v>121</v>
      </c>
      <c r="B205" s="28" t="s">
        <v>90</v>
      </c>
    </row>
    <row r="206" spans="1:2" x14ac:dyDescent="0.25">
      <c r="A206" s="27" t="s">
        <v>122</v>
      </c>
      <c r="B206" s="26">
        <v>3.3</v>
      </c>
    </row>
    <row r="207" spans="1:2" x14ac:dyDescent="0.25">
      <c r="A207" s="27" t="s">
        <v>123</v>
      </c>
      <c r="B207" s="28" t="s">
        <v>265</v>
      </c>
    </row>
    <row r="208" spans="1:2" x14ac:dyDescent="0.25">
      <c r="A208" s="27" t="s">
        <v>125</v>
      </c>
      <c r="B208" s="28" t="s">
        <v>221</v>
      </c>
    </row>
    <row r="209" spans="1:2" x14ac:dyDescent="0.25">
      <c r="A209" s="27" t="s">
        <v>127</v>
      </c>
      <c r="B209" s="28" t="s">
        <v>266</v>
      </c>
    </row>
    <row r="210" spans="1:2" x14ac:dyDescent="0.25">
      <c r="A210" s="27" t="s">
        <v>129</v>
      </c>
      <c r="B210" s="28" t="s">
        <v>267</v>
      </c>
    </row>
    <row r="211" spans="1:2" x14ac:dyDescent="0.25">
      <c r="A211" s="27" t="s">
        <v>119</v>
      </c>
      <c r="B211" s="28" t="s">
        <v>268</v>
      </c>
    </row>
    <row r="212" spans="1:2" x14ac:dyDescent="0.25">
      <c r="A212" s="27" t="s">
        <v>121</v>
      </c>
      <c r="B212" s="28" t="s">
        <v>159</v>
      </c>
    </row>
    <row r="213" spans="1:2" x14ac:dyDescent="0.25">
      <c r="A213" s="27" t="s">
        <v>122</v>
      </c>
      <c r="B213" s="26">
        <v>2.7</v>
      </c>
    </row>
    <row r="214" spans="1:2" x14ac:dyDescent="0.25">
      <c r="A214" s="27" t="s">
        <v>123</v>
      </c>
      <c r="B214" s="28" t="s">
        <v>175</v>
      </c>
    </row>
    <row r="215" spans="1:2" x14ac:dyDescent="0.25">
      <c r="A215" s="27" t="s">
        <v>125</v>
      </c>
      <c r="B215" s="28" t="s">
        <v>176</v>
      </c>
    </row>
    <row r="216" spans="1:2" x14ac:dyDescent="0.25">
      <c r="A216" s="27" t="s">
        <v>127</v>
      </c>
      <c r="B216" s="28" t="s">
        <v>269</v>
      </c>
    </row>
    <row r="217" spans="1:2" x14ac:dyDescent="0.25">
      <c r="A217" s="27" t="s">
        <v>129</v>
      </c>
      <c r="B217" s="28" t="s">
        <v>270</v>
      </c>
    </row>
    <row r="218" spans="1:2" x14ac:dyDescent="0.25">
      <c r="A218" s="27" t="s">
        <v>119</v>
      </c>
      <c r="B218" s="28" t="s">
        <v>271</v>
      </c>
    </row>
    <row r="219" spans="1:2" x14ac:dyDescent="0.25">
      <c r="A219" s="27" t="s">
        <v>121</v>
      </c>
      <c r="B219" s="28" t="s">
        <v>164</v>
      </c>
    </row>
    <row r="220" spans="1:2" x14ac:dyDescent="0.25">
      <c r="A220" s="27" t="s">
        <v>122</v>
      </c>
      <c r="B220" s="26">
        <v>2.7</v>
      </c>
    </row>
    <row r="221" spans="1:2" x14ac:dyDescent="0.25">
      <c r="A221" s="27" t="s">
        <v>123</v>
      </c>
      <c r="B221" s="28" t="s">
        <v>272</v>
      </c>
    </row>
    <row r="222" spans="1:2" x14ac:dyDescent="0.25">
      <c r="A222" s="27" t="s">
        <v>125</v>
      </c>
      <c r="B222" s="28" t="s">
        <v>171</v>
      </c>
    </row>
    <row r="223" spans="1:2" x14ac:dyDescent="0.25">
      <c r="A223" s="27" t="s">
        <v>127</v>
      </c>
      <c r="B223" s="28" t="s">
        <v>273</v>
      </c>
    </row>
    <row r="224" spans="1:2" x14ac:dyDescent="0.25">
      <c r="A224" s="27" t="s">
        <v>129</v>
      </c>
      <c r="B224" s="28" t="s">
        <v>274</v>
      </c>
    </row>
    <row r="225" spans="1:2" x14ac:dyDescent="0.25">
      <c r="A225" s="27" t="s">
        <v>119</v>
      </c>
      <c r="B225" s="28" t="s">
        <v>275</v>
      </c>
    </row>
    <row r="226" spans="1:2" x14ac:dyDescent="0.25">
      <c r="A226" s="27" t="s">
        <v>121</v>
      </c>
      <c r="B226" s="28" t="s">
        <v>89</v>
      </c>
    </row>
    <row r="227" spans="1:2" x14ac:dyDescent="0.25">
      <c r="A227" s="27" t="s">
        <v>122</v>
      </c>
      <c r="B227" s="26">
        <v>4</v>
      </c>
    </row>
    <row r="228" spans="1:2" x14ac:dyDescent="0.25">
      <c r="A228" s="27" t="s">
        <v>123</v>
      </c>
      <c r="B228" s="28" t="s">
        <v>276</v>
      </c>
    </row>
    <row r="229" spans="1:2" x14ac:dyDescent="0.25">
      <c r="A229" s="27" t="s">
        <v>125</v>
      </c>
      <c r="B229" s="28" t="s">
        <v>221</v>
      </c>
    </row>
    <row r="230" spans="1:2" x14ac:dyDescent="0.25">
      <c r="A230" s="27" t="s">
        <v>127</v>
      </c>
      <c r="B230" s="28" t="s">
        <v>277</v>
      </c>
    </row>
    <row r="231" spans="1:2" x14ac:dyDescent="0.25">
      <c r="A231" s="27" t="s">
        <v>129</v>
      </c>
      <c r="B231" s="28" t="s">
        <v>278</v>
      </c>
    </row>
    <row r="232" spans="1:2" x14ac:dyDescent="0.25">
      <c r="A232" s="27" t="s">
        <v>119</v>
      </c>
      <c r="B232" s="28" t="s">
        <v>279</v>
      </c>
    </row>
    <row r="233" spans="1:2" x14ac:dyDescent="0.25">
      <c r="A233" s="27" t="s">
        <v>121</v>
      </c>
      <c r="B233" s="28" t="s">
        <v>174</v>
      </c>
    </row>
    <row r="234" spans="1:2" x14ac:dyDescent="0.25">
      <c r="A234" s="27" t="s">
        <v>122</v>
      </c>
      <c r="B234" s="26">
        <v>3.2</v>
      </c>
    </row>
    <row r="235" spans="1:2" x14ac:dyDescent="0.25">
      <c r="A235" s="27" t="s">
        <v>123</v>
      </c>
      <c r="B235" s="28" t="s">
        <v>280</v>
      </c>
    </row>
    <row r="236" spans="1:2" x14ac:dyDescent="0.25">
      <c r="A236" s="27" t="s">
        <v>125</v>
      </c>
      <c r="B236" s="28" t="s">
        <v>126</v>
      </c>
    </row>
    <row r="237" spans="1:2" x14ac:dyDescent="0.25">
      <c r="A237" s="27" t="s">
        <v>127</v>
      </c>
      <c r="B237" s="28" t="s">
        <v>281</v>
      </c>
    </row>
    <row r="238" spans="1:2" x14ac:dyDescent="0.25">
      <c r="A238" s="27" t="s">
        <v>129</v>
      </c>
      <c r="B238" s="28" t="s">
        <v>282</v>
      </c>
    </row>
    <row r="239" spans="1:2" x14ac:dyDescent="0.25">
      <c r="A239" s="27" t="s">
        <v>119</v>
      </c>
      <c r="B239" s="28" t="s">
        <v>283</v>
      </c>
    </row>
    <row r="240" spans="1:2" x14ac:dyDescent="0.25">
      <c r="A240" s="27" t="s">
        <v>121</v>
      </c>
      <c r="B240" s="28" t="s">
        <v>132</v>
      </c>
    </row>
    <row r="241" spans="1:2" x14ac:dyDescent="0.25">
      <c r="A241" s="27" t="s">
        <v>122</v>
      </c>
      <c r="B241" s="26">
        <v>3.5</v>
      </c>
    </row>
    <row r="242" spans="1:2" x14ac:dyDescent="0.25">
      <c r="A242" s="27" t="s">
        <v>123</v>
      </c>
      <c r="B242" s="28" t="s">
        <v>284</v>
      </c>
    </row>
    <row r="243" spans="1:2" x14ac:dyDescent="0.25">
      <c r="A243" s="27" t="s">
        <v>125</v>
      </c>
      <c r="B243" s="28" t="s">
        <v>134</v>
      </c>
    </row>
    <row r="244" spans="1:2" x14ac:dyDescent="0.25">
      <c r="A244" s="27" t="s">
        <v>127</v>
      </c>
      <c r="B244" s="28" t="s">
        <v>285</v>
      </c>
    </row>
    <row r="245" spans="1:2" x14ac:dyDescent="0.25">
      <c r="A245" s="27" t="s">
        <v>129</v>
      </c>
      <c r="B245" s="28" t="s">
        <v>286</v>
      </c>
    </row>
    <row r="246" spans="1:2" x14ac:dyDescent="0.25">
      <c r="A246" s="27" t="s">
        <v>119</v>
      </c>
      <c r="B246" s="28" t="s">
        <v>287</v>
      </c>
    </row>
    <row r="247" spans="1:2" x14ac:dyDescent="0.25">
      <c r="A247" s="27" t="s">
        <v>121</v>
      </c>
      <c r="B247" s="28" t="s">
        <v>143</v>
      </c>
    </row>
    <row r="248" spans="1:2" x14ac:dyDescent="0.25">
      <c r="A248" s="27" t="s">
        <v>122</v>
      </c>
      <c r="B248" s="26">
        <v>2.8</v>
      </c>
    </row>
    <row r="249" spans="1:2" x14ac:dyDescent="0.25">
      <c r="A249" s="27" t="s">
        <v>123</v>
      </c>
      <c r="B249" s="28" t="s">
        <v>288</v>
      </c>
    </row>
    <row r="250" spans="1:2" x14ac:dyDescent="0.25">
      <c r="A250" s="27" t="s">
        <v>125</v>
      </c>
      <c r="B250" s="28" t="s">
        <v>139</v>
      </c>
    </row>
    <row r="251" spans="1:2" x14ac:dyDescent="0.25">
      <c r="A251" s="27" t="s">
        <v>127</v>
      </c>
      <c r="B251" s="28" t="s">
        <v>289</v>
      </c>
    </row>
    <row r="252" spans="1:2" x14ac:dyDescent="0.25">
      <c r="A252" s="27" t="s">
        <v>129</v>
      </c>
      <c r="B252" s="28" t="s">
        <v>290</v>
      </c>
    </row>
    <row r="253" spans="1:2" x14ac:dyDescent="0.25">
      <c r="A253" s="27" t="s">
        <v>119</v>
      </c>
      <c r="B253" s="28" t="s">
        <v>291</v>
      </c>
    </row>
    <row r="254" spans="1:2" x14ac:dyDescent="0.25">
      <c r="A254" s="27" t="s">
        <v>121</v>
      </c>
      <c r="B254" s="28" t="s">
        <v>91</v>
      </c>
    </row>
    <row r="255" spans="1:2" x14ac:dyDescent="0.25">
      <c r="A255" s="27" t="s">
        <v>122</v>
      </c>
      <c r="B255" s="26">
        <v>3.5</v>
      </c>
    </row>
    <row r="256" spans="1:2" x14ac:dyDescent="0.25">
      <c r="A256" s="27" t="s">
        <v>123</v>
      </c>
      <c r="B256" s="28" t="s">
        <v>292</v>
      </c>
    </row>
    <row r="257" spans="1:2" x14ac:dyDescent="0.25">
      <c r="A257" s="27" t="s">
        <v>125</v>
      </c>
      <c r="B257" s="28" t="s">
        <v>139</v>
      </c>
    </row>
    <row r="258" spans="1:2" x14ac:dyDescent="0.25">
      <c r="A258" s="27" t="s">
        <v>127</v>
      </c>
      <c r="B258" s="28" t="s">
        <v>293</v>
      </c>
    </row>
    <row r="259" spans="1:2" x14ac:dyDescent="0.25">
      <c r="A259" s="27" t="s">
        <v>129</v>
      </c>
      <c r="B259" s="28" t="s">
        <v>294</v>
      </c>
    </row>
    <row r="260" spans="1:2" x14ac:dyDescent="0.25">
      <c r="A260" s="27" t="s">
        <v>119</v>
      </c>
      <c r="B260" s="28" t="s">
        <v>295</v>
      </c>
    </row>
    <row r="261" spans="1:2" x14ac:dyDescent="0.25">
      <c r="A261" s="27" t="s">
        <v>121</v>
      </c>
      <c r="B261" s="28" t="s">
        <v>90</v>
      </c>
    </row>
    <row r="262" spans="1:2" x14ac:dyDescent="0.25">
      <c r="A262" s="27" t="s">
        <v>122</v>
      </c>
      <c r="B262" s="26">
        <v>2.9</v>
      </c>
    </row>
    <row r="263" spans="1:2" x14ac:dyDescent="0.25">
      <c r="A263" s="27" t="s">
        <v>123</v>
      </c>
      <c r="B263" s="28" t="s">
        <v>296</v>
      </c>
    </row>
    <row r="264" spans="1:2" x14ac:dyDescent="0.25">
      <c r="A264" s="27" t="s">
        <v>125</v>
      </c>
      <c r="B264" s="28" t="s">
        <v>297</v>
      </c>
    </row>
    <row r="265" spans="1:2" x14ac:dyDescent="0.25">
      <c r="A265" s="27" t="s">
        <v>127</v>
      </c>
      <c r="B265" s="28" t="s">
        <v>298</v>
      </c>
    </row>
    <row r="266" spans="1:2" x14ac:dyDescent="0.25">
      <c r="A266" s="27" t="s">
        <v>129</v>
      </c>
      <c r="B266" s="28" t="s">
        <v>299</v>
      </c>
    </row>
    <row r="267" spans="1:2" x14ac:dyDescent="0.25">
      <c r="A267" s="27" t="s">
        <v>119</v>
      </c>
      <c r="B267" s="28" t="s">
        <v>300</v>
      </c>
    </row>
    <row r="268" spans="1:2" x14ac:dyDescent="0.25">
      <c r="A268" s="27" t="s">
        <v>121</v>
      </c>
      <c r="B268" s="28" t="s">
        <v>159</v>
      </c>
    </row>
    <row r="269" spans="1:2" x14ac:dyDescent="0.25">
      <c r="A269" s="27" t="s">
        <v>122</v>
      </c>
      <c r="B269" s="26">
        <v>2.9</v>
      </c>
    </row>
    <row r="270" spans="1:2" x14ac:dyDescent="0.25">
      <c r="A270" s="27" t="s">
        <v>123</v>
      </c>
      <c r="B270" s="28" t="s">
        <v>301</v>
      </c>
    </row>
    <row r="271" spans="1:2" x14ac:dyDescent="0.25">
      <c r="A271" s="27" t="s">
        <v>125</v>
      </c>
      <c r="B271" s="28" t="s">
        <v>126</v>
      </c>
    </row>
    <row r="272" spans="1:2" x14ac:dyDescent="0.25">
      <c r="A272" s="27" t="s">
        <v>127</v>
      </c>
      <c r="B272" s="28" t="s">
        <v>302</v>
      </c>
    </row>
    <row r="273" spans="1:2" x14ac:dyDescent="0.25">
      <c r="A273" s="27" t="s">
        <v>129</v>
      </c>
      <c r="B273" s="28" t="s">
        <v>303</v>
      </c>
    </row>
    <row r="274" spans="1:2" x14ac:dyDescent="0.25">
      <c r="A274" s="27" t="s">
        <v>119</v>
      </c>
      <c r="B274" s="28" t="s">
        <v>304</v>
      </c>
    </row>
    <row r="275" spans="1:2" x14ac:dyDescent="0.25">
      <c r="A275" s="27" t="s">
        <v>121</v>
      </c>
      <c r="B275" s="28" t="s">
        <v>164</v>
      </c>
    </row>
    <row r="276" spans="1:2" x14ac:dyDescent="0.25">
      <c r="A276" s="27" t="s">
        <v>122</v>
      </c>
      <c r="B276" s="26">
        <v>3</v>
      </c>
    </row>
    <row r="277" spans="1:2" x14ac:dyDescent="0.25">
      <c r="A277" s="27" t="s">
        <v>123</v>
      </c>
      <c r="B277" s="28" t="s">
        <v>305</v>
      </c>
    </row>
    <row r="278" spans="1:2" x14ac:dyDescent="0.25">
      <c r="A278" s="27" t="s">
        <v>125</v>
      </c>
      <c r="B278" s="28" t="s">
        <v>171</v>
      </c>
    </row>
    <row r="279" spans="1:2" x14ac:dyDescent="0.25">
      <c r="A279" s="27" t="s">
        <v>127</v>
      </c>
      <c r="B279" s="28" t="s">
        <v>306</v>
      </c>
    </row>
    <row r="280" spans="1:2" x14ac:dyDescent="0.25">
      <c r="A280" s="27" t="s">
        <v>129</v>
      </c>
      <c r="B280" s="28" t="s">
        <v>307</v>
      </c>
    </row>
    <row r="281" spans="1:2" x14ac:dyDescent="0.25">
      <c r="A281" s="27" t="s">
        <v>119</v>
      </c>
      <c r="B281" s="28" t="s">
        <v>308</v>
      </c>
    </row>
    <row r="282" spans="1:2" x14ac:dyDescent="0.25">
      <c r="A282" s="27" t="s">
        <v>121</v>
      </c>
      <c r="B282" s="28" t="s">
        <v>89</v>
      </c>
    </row>
    <row r="283" spans="1:2" x14ac:dyDescent="0.25">
      <c r="A283" s="27" t="s">
        <v>122</v>
      </c>
      <c r="B283" s="26">
        <v>2.9</v>
      </c>
    </row>
    <row r="284" spans="1:2" x14ac:dyDescent="0.25">
      <c r="A284" s="27" t="s">
        <v>123</v>
      </c>
      <c r="B284" s="28" t="s">
        <v>309</v>
      </c>
    </row>
    <row r="285" spans="1:2" x14ac:dyDescent="0.25">
      <c r="A285" s="27" t="s">
        <v>125</v>
      </c>
      <c r="B285" s="28" t="s">
        <v>310</v>
      </c>
    </row>
    <row r="286" spans="1:2" x14ac:dyDescent="0.25">
      <c r="A286" s="27" t="s">
        <v>127</v>
      </c>
      <c r="B286" s="28" t="s">
        <v>311</v>
      </c>
    </row>
    <row r="287" spans="1:2" x14ac:dyDescent="0.25">
      <c r="A287" s="27" t="s">
        <v>129</v>
      </c>
      <c r="B287" s="28" t="s">
        <v>312</v>
      </c>
    </row>
    <row r="288" spans="1:2" x14ac:dyDescent="0.25">
      <c r="A288" s="27" t="s">
        <v>119</v>
      </c>
      <c r="B288" s="28" t="s">
        <v>313</v>
      </c>
    </row>
    <row r="289" spans="1:2" x14ac:dyDescent="0.25">
      <c r="A289" s="27" t="s">
        <v>121</v>
      </c>
      <c r="B289" s="28" t="s">
        <v>174</v>
      </c>
    </row>
    <row r="290" spans="1:2" x14ac:dyDescent="0.25">
      <c r="A290" s="27" t="s">
        <v>122</v>
      </c>
      <c r="B290" s="26">
        <v>3.2</v>
      </c>
    </row>
    <row r="291" spans="1:2" x14ac:dyDescent="0.25">
      <c r="A291" s="27" t="s">
        <v>123</v>
      </c>
      <c r="B291" s="28" t="s">
        <v>314</v>
      </c>
    </row>
    <row r="292" spans="1:2" x14ac:dyDescent="0.25">
      <c r="A292" s="27" t="s">
        <v>125</v>
      </c>
      <c r="B292" s="28" t="s">
        <v>315</v>
      </c>
    </row>
    <row r="293" spans="1:2" x14ac:dyDescent="0.25">
      <c r="A293" s="27" t="s">
        <v>127</v>
      </c>
      <c r="B293" s="28" t="s">
        <v>316</v>
      </c>
    </row>
    <row r="294" spans="1:2" x14ac:dyDescent="0.25">
      <c r="A294" s="27" t="s">
        <v>129</v>
      </c>
      <c r="B294" s="28" t="s">
        <v>317</v>
      </c>
    </row>
    <row r="295" spans="1:2" x14ac:dyDescent="0.25">
      <c r="A295" s="27" t="s">
        <v>119</v>
      </c>
      <c r="B295" s="28" t="s">
        <v>318</v>
      </c>
    </row>
    <row r="296" spans="1:2" x14ac:dyDescent="0.25">
      <c r="A296" s="27" t="s">
        <v>121</v>
      </c>
      <c r="B296" s="28" t="s">
        <v>132</v>
      </c>
    </row>
    <row r="297" spans="1:2" x14ac:dyDescent="0.25">
      <c r="A297" s="27" t="s">
        <v>122</v>
      </c>
      <c r="B297" s="26">
        <v>2.7</v>
      </c>
    </row>
    <row r="298" spans="1:2" x14ac:dyDescent="0.25">
      <c r="A298" s="27" t="s">
        <v>123</v>
      </c>
      <c r="B298" s="28" t="s">
        <v>319</v>
      </c>
    </row>
    <row r="299" spans="1:2" x14ac:dyDescent="0.25">
      <c r="A299" s="27" t="s">
        <v>125</v>
      </c>
      <c r="B299" s="28" t="s">
        <v>181</v>
      </c>
    </row>
    <row r="300" spans="1:2" x14ac:dyDescent="0.25">
      <c r="A300" s="27" t="s">
        <v>127</v>
      </c>
      <c r="B300" s="28" t="s">
        <v>320</v>
      </c>
    </row>
    <row r="301" spans="1:2" x14ac:dyDescent="0.25">
      <c r="A301" s="27" t="s">
        <v>129</v>
      </c>
      <c r="B301" s="28" t="s">
        <v>321</v>
      </c>
    </row>
    <row r="302" spans="1:2" x14ac:dyDescent="0.25">
      <c r="A302" s="27" t="s">
        <v>119</v>
      </c>
      <c r="B302" s="28" t="s">
        <v>322</v>
      </c>
    </row>
    <row r="303" spans="1:2" x14ac:dyDescent="0.25">
      <c r="A303" s="27" t="s">
        <v>121</v>
      </c>
      <c r="B303" s="28" t="s">
        <v>143</v>
      </c>
    </row>
    <row r="304" spans="1:2" x14ac:dyDescent="0.25">
      <c r="A304" s="27" t="s">
        <v>122</v>
      </c>
      <c r="B304" s="26">
        <v>3.7</v>
      </c>
    </row>
    <row r="305" spans="1:2" x14ac:dyDescent="0.25">
      <c r="A305" s="27" t="s">
        <v>123</v>
      </c>
      <c r="B305" s="28" t="s">
        <v>323</v>
      </c>
    </row>
    <row r="306" spans="1:2" x14ac:dyDescent="0.25">
      <c r="A306" s="27" t="s">
        <v>125</v>
      </c>
      <c r="B306" s="28" t="s">
        <v>126</v>
      </c>
    </row>
    <row r="307" spans="1:2" x14ac:dyDescent="0.25">
      <c r="A307" s="27" t="s">
        <v>127</v>
      </c>
      <c r="B307" s="28" t="s">
        <v>324</v>
      </c>
    </row>
    <row r="308" spans="1:2" x14ac:dyDescent="0.25">
      <c r="A308" s="27" t="s">
        <v>129</v>
      </c>
      <c r="B308" s="28" t="s">
        <v>325</v>
      </c>
    </row>
    <row r="309" spans="1:2" x14ac:dyDescent="0.25">
      <c r="A309" s="27" t="s">
        <v>119</v>
      </c>
      <c r="B309" s="28" t="s">
        <v>326</v>
      </c>
    </row>
    <row r="310" spans="1:2" x14ac:dyDescent="0.25">
      <c r="A310" s="27" t="s">
        <v>121</v>
      </c>
      <c r="B310" s="28" t="s">
        <v>91</v>
      </c>
    </row>
    <row r="311" spans="1:2" x14ac:dyDescent="0.25">
      <c r="A311" s="27" t="s">
        <v>122</v>
      </c>
      <c r="B311" s="26">
        <v>2.9</v>
      </c>
    </row>
    <row r="312" spans="1:2" x14ac:dyDescent="0.25">
      <c r="A312" s="27" t="s">
        <v>123</v>
      </c>
      <c r="B312" s="28" t="s">
        <v>327</v>
      </c>
    </row>
    <row r="313" spans="1:2" x14ac:dyDescent="0.25">
      <c r="A313" s="27" t="s">
        <v>125</v>
      </c>
      <c r="B313" s="28" t="s">
        <v>245</v>
      </c>
    </row>
    <row r="314" spans="1:2" x14ac:dyDescent="0.25">
      <c r="A314" s="27" t="s">
        <v>127</v>
      </c>
      <c r="B314" s="28" t="s">
        <v>328</v>
      </c>
    </row>
    <row r="315" spans="1:2" x14ac:dyDescent="0.25">
      <c r="A315" s="27" t="s">
        <v>129</v>
      </c>
      <c r="B315" s="28" t="s">
        <v>329</v>
      </c>
    </row>
    <row r="316" spans="1:2" x14ac:dyDescent="0.25">
      <c r="A316" s="27" t="s">
        <v>119</v>
      </c>
      <c r="B316" s="28" t="s">
        <v>330</v>
      </c>
    </row>
    <row r="317" spans="1:2" x14ac:dyDescent="0.25">
      <c r="A317" s="27" t="s">
        <v>121</v>
      </c>
      <c r="B317" s="28" t="s">
        <v>90</v>
      </c>
    </row>
    <row r="318" spans="1:2" x14ac:dyDescent="0.25">
      <c r="A318" s="27" t="s">
        <v>122</v>
      </c>
      <c r="B318" s="26">
        <v>3.3</v>
      </c>
    </row>
    <row r="319" spans="1:2" x14ac:dyDescent="0.25">
      <c r="A319" s="27" t="s">
        <v>123</v>
      </c>
      <c r="B319" s="28" t="s">
        <v>331</v>
      </c>
    </row>
    <row r="320" spans="1:2" x14ac:dyDescent="0.25">
      <c r="A320" s="27" t="s">
        <v>125</v>
      </c>
      <c r="B320" s="28" t="s">
        <v>297</v>
      </c>
    </row>
    <row r="321" spans="1:2" x14ac:dyDescent="0.25">
      <c r="A321" s="27" t="s">
        <v>127</v>
      </c>
      <c r="B321" s="28" t="s">
        <v>332</v>
      </c>
    </row>
    <row r="322" spans="1:2" x14ac:dyDescent="0.25">
      <c r="A322" s="27" t="s">
        <v>129</v>
      </c>
      <c r="B322" s="28" t="s">
        <v>333</v>
      </c>
    </row>
    <row r="323" spans="1:2" x14ac:dyDescent="0.25">
      <c r="A323" s="27" t="s">
        <v>119</v>
      </c>
      <c r="B323" s="28" t="s">
        <v>334</v>
      </c>
    </row>
    <row r="324" spans="1:2" x14ac:dyDescent="0.25">
      <c r="A324" s="27" t="s">
        <v>121</v>
      </c>
      <c r="B324" s="28" t="s">
        <v>159</v>
      </c>
    </row>
    <row r="325" spans="1:2" x14ac:dyDescent="0.25">
      <c r="A325" s="27" t="s">
        <v>122</v>
      </c>
      <c r="B325" s="26">
        <v>2.7</v>
      </c>
    </row>
    <row r="326" spans="1:2" x14ac:dyDescent="0.25">
      <c r="A326" s="27" t="s">
        <v>123</v>
      </c>
      <c r="B326" s="28" t="s">
        <v>335</v>
      </c>
    </row>
    <row r="327" spans="1:2" x14ac:dyDescent="0.25">
      <c r="A327" s="27" t="s">
        <v>125</v>
      </c>
      <c r="B327" s="28" t="s">
        <v>126</v>
      </c>
    </row>
    <row r="328" spans="1:2" x14ac:dyDescent="0.25">
      <c r="A328" s="27" t="s">
        <v>127</v>
      </c>
      <c r="B328" s="28" t="s">
        <v>336</v>
      </c>
    </row>
    <row r="329" spans="1:2" x14ac:dyDescent="0.25">
      <c r="A329" s="27" t="s">
        <v>129</v>
      </c>
      <c r="B329" s="28" t="s">
        <v>337</v>
      </c>
    </row>
    <row r="330" spans="1:2" x14ac:dyDescent="0.25">
      <c r="A330" s="27" t="s">
        <v>119</v>
      </c>
      <c r="B330" s="28" t="s">
        <v>338</v>
      </c>
    </row>
    <row r="331" spans="1:2" x14ac:dyDescent="0.25">
      <c r="A331" s="27" t="s">
        <v>121</v>
      </c>
      <c r="B331" s="28" t="s">
        <v>164</v>
      </c>
    </row>
    <row r="332" spans="1:2" x14ac:dyDescent="0.25">
      <c r="A332" s="27" t="s">
        <v>122</v>
      </c>
      <c r="B332" s="26">
        <v>3</v>
      </c>
    </row>
    <row r="333" spans="1:2" x14ac:dyDescent="0.25">
      <c r="A333" s="27" t="s">
        <v>123</v>
      </c>
      <c r="B333" s="28" t="s">
        <v>339</v>
      </c>
    </row>
    <row r="334" spans="1:2" x14ac:dyDescent="0.25">
      <c r="A334" s="27" t="s">
        <v>125</v>
      </c>
      <c r="B334" s="28" t="s">
        <v>340</v>
      </c>
    </row>
    <row r="335" spans="1:2" x14ac:dyDescent="0.25">
      <c r="A335" s="27" t="s">
        <v>127</v>
      </c>
      <c r="B335" s="28" t="s">
        <v>341</v>
      </c>
    </row>
    <row r="336" spans="1:2" x14ac:dyDescent="0.25">
      <c r="A336" s="27" t="s">
        <v>129</v>
      </c>
      <c r="B336" s="28" t="s">
        <v>342</v>
      </c>
    </row>
    <row r="337" spans="1:2" x14ac:dyDescent="0.25">
      <c r="A337" s="27" t="s">
        <v>119</v>
      </c>
      <c r="B337" s="28" t="s">
        <v>343</v>
      </c>
    </row>
    <row r="338" spans="1:2" x14ac:dyDescent="0.25">
      <c r="A338" s="27" t="s">
        <v>121</v>
      </c>
      <c r="B338" s="28" t="s">
        <v>89</v>
      </c>
    </row>
    <row r="339" spans="1:2" x14ac:dyDescent="0.25">
      <c r="A339" s="27" t="s">
        <v>122</v>
      </c>
      <c r="B339" s="26">
        <v>2.8</v>
      </c>
    </row>
    <row r="340" spans="1:2" x14ac:dyDescent="0.25">
      <c r="A340" s="27" t="s">
        <v>123</v>
      </c>
      <c r="B340" s="28" t="s">
        <v>344</v>
      </c>
    </row>
    <row r="341" spans="1:2" x14ac:dyDescent="0.25">
      <c r="A341" s="27" t="s">
        <v>125</v>
      </c>
      <c r="B341" s="28" t="s">
        <v>171</v>
      </c>
    </row>
    <row r="342" spans="1:2" x14ac:dyDescent="0.25">
      <c r="A342" s="27" t="s">
        <v>127</v>
      </c>
      <c r="B342" s="28" t="s">
        <v>345</v>
      </c>
    </row>
    <row r="343" spans="1:2" x14ac:dyDescent="0.25">
      <c r="A343" s="27" t="s">
        <v>129</v>
      </c>
      <c r="B343" s="28" t="s">
        <v>346</v>
      </c>
    </row>
    <row r="344" spans="1:2" x14ac:dyDescent="0.25">
      <c r="A344" s="27" t="s">
        <v>119</v>
      </c>
      <c r="B344" s="28" t="s">
        <v>347</v>
      </c>
    </row>
    <row r="345" spans="1:2" x14ac:dyDescent="0.25">
      <c r="A345" s="27" t="s">
        <v>121</v>
      </c>
      <c r="B345" s="28" t="s">
        <v>174</v>
      </c>
    </row>
    <row r="346" spans="1:2" x14ac:dyDescent="0.25">
      <c r="A346" s="27" t="s">
        <v>122</v>
      </c>
      <c r="B346" s="26">
        <v>2.5</v>
      </c>
    </row>
    <row r="347" spans="1:2" x14ac:dyDescent="0.25">
      <c r="A347" s="27" t="s">
        <v>123</v>
      </c>
      <c r="B347" s="28" t="s">
        <v>348</v>
      </c>
    </row>
    <row r="348" spans="1:2" x14ac:dyDescent="0.25">
      <c r="A348" s="27" t="s">
        <v>125</v>
      </c>
      <c r="B348" s="28" t="s">
        <v>231</v>
      </c>
    </row>
    <row r="349" spans="1:2" x14ac:dyDescent="0.25">
      <c r="A349" s="27" t="s">
        <v>127</v>
      </c>
      <c r="B349" s="28" t="s">
        <v>349</v>
      </c>
    </row>
    <row r="350" spans="1:2" x14ac:dyDescent="0.25">
      <c r="A350" s="27" t="s">
        <v>129</v>
      </c>
      <c r="B350" s="28" t="s">
        <v>350</v>
      </c>
    </row>
    <row r="351" spans="1:2" x14ac:dyDescent="0.25">
      <c r="A351" s="27" t="s">
        <v>119</v>
      </c>
      <c r="B351" s="28" t="s">
        <v>351</v>
      </c>
    </row>
    <row r="352" spans="1:2" x14ac:dyDescent="0.25">
      <c r="A352" s="27" t="s">
        <v>121</v>
      </c>
      <c r="B352" s="28" t="s">
        <v>132</v>
      </c>
    </row>
    <row r="353" spans="1:2" x14ac:dyDescent="0.25">
      <c r="A353" s="27" t="s">
        <v>122</v>
      </c>
      <c r="B353" s="26">
        <v>2.9</v>
      </c>
    </row>
    <row r="354" spans="1:2" x14ac:dyDescent="0.25">
      <c r="A354" s="27" t="s">
        <v>123</v>
      </c>
      <c r="B354" s="28" t="s">
        <v>352</v>
      </c>
    </row>
    <row r="355" spans="1:2" x14ac:dyDescent="0.25">
      <c r="A355" s="27" t="s">
        <v>125</v>
      </c>
      <c r="B355" s="28" t="s">
        <v>353</v>
      </c>
    </row>
    <row r="356" spans="1:2" x14ac:dyDescent="0.25">
      <c r="A356" s="27" t="s">
        <v>127</v>
      </c>
      <c r="B356" s="28" t="s">
        <v>354</v>
      </c>
    </row>
    <row r="357" spans="1:2" x14ac:dyDescent="0.25">
      <c r="A357" s="27" t="s">
        <v>129</v>
      </c>
      <c r="B357" s="28" t="s">
        <v>355</v>
      </c>
    </row>
    <row r="358" spans="1:2" x14ac:dyDescent="0.25">
      <c r="A358" s="27" t="s">
        <v>119</v>
      </c>
      <c r="B358" s="28" t="s">
        <v>356</v>
      </c>
    </row>
    <row r="359" spans="1:2" x14ac:dyDescent="0.25">
      <c r="A359" s="27" t="s">
        <v>121</v>
      </c>
      <c r="B359" s="28" t="s">
        <v>143</v>
      </c>
    </row>
    <row r="360" spans="1:2" x14ac:dyDescent="0.25">
      <c r="A360" s="27" t="s">
        <v>122</v>
      </c>
      <c r="B360" s="26">
        <v>3.3</v>
      </c>
    </row>
    <row r="361" spans="1:2" x14ac:dyDescent="0.25">
      <c r="A361" s="27" t="s">
        <v>123</v>
      </c>
      <c r="B361" s="28" t="s">
        <v>357</v>
      </c>
    </row>
    <row r="362" spans="1:2" x14ac:dyDescent="0.25">
      <c r="A362" s="27" t="s">
        <v>125</v>
      </c>
      <c r="B362" s="28" t="s">
        <v>171</v>
      </c>
    </row>
    <row r="363" spans="1:2" x14ac:dyDescent="0.25">
      <c r="A363" s="27" t="s">
        <v>127</v>
      </c>
      <c r="B363" s="28" t="s">
        <v>358</v>
      </c>
    </row>
    <row r="364" spans="1:2" x14ac:dyDescent="0.25">
      <c r="A364" s="27" t="s">
        <v>129</v>
      </c>
      <c r="B364" s="28" t="s">
        <v>359</v>
      </c>
    </row>
    <row r="365" spans="1:2" x14ac:dyDescent="0.25">
      <c r="A365" s="27" t="s">
        <v>119</v>
      </c>
      <c r="B365" s="28" t="s">
        <v>360</v>
      </c>
    </row>
    <row r="366" spans="1:2" x14ac:dyDescent="0.25">
      <c r="A366" s="27" t="s">
        <v>121</v>
      </c>
      <c r="B366" s="28" t="s">
        <v>91</v>
      </c>
    </row>
    <row r="367" spans="1:2" x14ac:dyDescent="0.25">
      <c r="A367" s="27" t="s">
        <v>122</v>
      </c>
      <c r="B367" s="26">
        <v>2.7</v>
      </c>
    </row>
    <row r="368" spans="1:2" x14ac:dyDescent="0.25">
      <c r="A368" s="27" t="s">
        <v>123</v>
      </c>
      <c r="B368" s="28" t="s">
        <v>348</v>
      </c>
    </row>
    <row r="369" spans="1:2" x14ac:dyDescent="0.25">
      <c r="A369" s="27" t="s">
        <v>125</v>
      </c>
      <c r="B369" s="28" t="s">
        <v>231</v>
      </c>
    </row>
    <row r="370" spans="1:2" x14ac:dyDescent="0.25">
      <c r="A370" s="27" t="s">
        <v>127</v>
      </c>
      <c r="B370" s="28" t="s">
        <v>361</v>
      </c>
    </row>
    <row r="371" spans="1:2" x14ac:dyDescent="0.25">
      <c r="A371" s="27" t="s">
        <v>129</v>
      </c>
      <c r="B371" s="28" t="s">
        <v>172</v>
      </c>
    </row>
    <row r="372" spans="1:2" x14ac:dyDescent="0.25">
      <c r="A372" s="27" t="s">
        <v>119</v>
      </c>
      <c r="B372" s="28" t="s">
        <v>362</v>
      </c>
    </row>
    <row r="373" spans="1:2" x14ac:dyDescent="0.25">
      <c r="A373" s="27" t="s">
        <v>121</v>
      </c>
      <c r="B373" s="28" t="s">
        <v>90</v>
      </c>
    </row>
    <row r="374" spans="1:2" x14ac:dyDescent="0.25">
      <c r="A374" s="27" t="s">
        <v>122</v>
      </c>
      <c r="B374" s="26">
        <v>2.7</v>
      </c>
    </row>
    <row r="375" spans="1:2" x14ac:dyDescent="0.25">
      <c r="A375" s="27" t="s">
        <v>123</v>
      </c>
      <c r="B375" s="28" t="s">
        <v>175</v>
      </c>
    </row>
    <row r="376" spans="1:2" x14ac:dyDescent="0.25">
      <c r="A376" s="27" t="s">
        <v>125</v>
      </c>
      <c r="B376" s="28" t="s">
        <v>176</v>
      </c>
    </row>
    <row r="377" spans="1:2" x14ac:dyDescent="0.25">
      <c r="A377" s="27" t="s">
        <v>127</v>
      </c>
      <c r="B377" s="28" t="s">
        <v>363</v>
      </c>
    </row>
    <row r="378" spans="1:2" x14ac:dyDescent="0.25">
      <c r="A378" s="27" t="s">
        <v>129</v>
      </c>
      <c r="B378" s="28" t="s">
        <v>364</v>
      </c>
    </row>
    <row r="379" spans="1:2" x14ac:dyDescent="0.25">
      <c r="A379" s="27" t="s">
        <v>119</v>
      </c>
      <c r="B379" s="28" t="s">
        <v>365</v>
      </c>
    </row>
    <row r="380" spans="1:2" x14ac:dyDescent="0.25">
      <c r="A380" s="27" t="s">
        <v>121</v>
      </c>
      <c r="B380" s="28" t="s">
        <v>159</v>
      </c>
    </row>
    <row r="381" spans="1:2" x14ac:dyDescent="0.25">
      <c r="A381" s="27" t="s">
        <v>122</v>
      </c>
      <c r="B381" s="26">
        <v>3.8</v>
      </c>
    </row>
    <row r="382" spans="1:2" x14ac:dyDescent="0.25">
      <c r="A382" s="27" t="s">
        <v>123</v>
      </c>
      <c r="B382" s="28" t="s">
        <v>366</v>
      </c>
    </row>
    <row r="383" spans="1:2" x14ac:dyDescent="0.25">
      <c r="A383" s="27" t="s">
        <v>125</v>
      </c>
      <c r="B383" s="28" t="s">
        <v>367</v>
      </c>
    </row>
    <row r="384" spans="1:2" x14ac:dyDescent="0.25">
      <c r="A384" s="27" t="s">
        <v>127</v>
      </c>
      <c r="B384" s="28" t="s">
        <v>368</v>
      </c>
    </row>
    <row r="385" spans="1:2" x14ac:dyDescent="0.25">
      <c r="A385" s="27" t="s">
        <v>129</v>
      </c>
      <c r="B385" s="28" t="s">
        <v>369</v>
      </c>
    </row>
    <row r="386" spans="1:2" x14ac:dyDescent="0.25">
      <c r="A386" s="27" t="s">
        <v>119</v>
      </c>
      <c r="B386" s="28" t="s">
        <v>370</v>
      </c>
    </row>
    <row r="387" spans="1:2" x14ac:dyDescent="0.25">
      <c r="A387" s="27" t="s">
        <v>121</v>
      </c>
      <c r="B387" s="28" t="s">
        <v>164</v>
      </c>
    </row>
    <row r="388" spans="1:2" x14ac:dyDescent="0.25">
      <c r="A388" s="27" t="s">
        <v>122</v>
      </c>
      <c r="B388" s="26">
        <v>2.6</v>
      </c>
    </row>
    <row r="389" spans="1:2" x14ac:dyDescent="0.25">
      <c r="A389" s="27" t="s">
        <v>123</v>
      </c>
      <c r="B389" s="28" t="s">
        <v>371</v>
      </c>
    </row>
    <row r="390" spans="1:2" x14ac:dyDescent="0.25">
      <c r="A390" s="27" t="s">
        <v>125</v>
      </c>
      <c r="B390" s="28" t="s">
        <v>226</v>
      </c>
    </row>
    <row r="391" spans="1:2" x14ac:dyDescent="0.25">
      <c r="A391" s="27" t="s">
        <v>127</v>
      </c>
      <c r="B391" s="28" t="s">
        <v>372</v>
      </c>
    </row>
    <row r="392" spans="1:2" x14ac:dyDescent="0.25">
      <c r="A392" s="27" t="s">
        <v>129</v>
      </c>
      <c r="B392" s="28" t="s">
        <v>373</v>
      </c>
    </row>
    <row r="393" spans="1:2" x14ac:dyDescent="0.25">
      <c r="A393" s="27" t="s">
        <v>119</v>
      </c>
      <c r="B393" s="28" t="s">
        <v>374</v>
      </c>
    </row>
    <row r="394" spans="1:2" x14ac:dyDescent="0.25">
      <c r="A394" s="27" t="s">
        <v>121</v>
      </c>
      <c r="B394" s="28" t="s">
        <v>89</v>
      </c>
    </row>
    <row r="395" spans="1:2" x14ac:dyDescent="0.25">
      <c r="A395" s="27" t="s">
        <v>122</v>
      </c>
      <c r="B395" s="26">
        <v>3.8</v>
      </c>
    </row>
    <row r="396" spans="1:2" x14ac:dyDescent="0.25">
      <c r="A396" s="27" t="s">
        <v>123</v>
      </c>
      <c r="B396" s="28" t="s">
        <v>375</v>
      </c>
    </row>
    <row r="397" spans="1:2" x14ac:dyDescent="0.25">
      <c r="A397" s="27" t="s">
        <v>125</v>
      </c>
      <c r="B397" s="28" t="s">
        <v>353</v>
      </c>
    </row>
    <row r="398" spans="1:2" x14ac:dyDescent="0.25">
      <c r="A398" s="27" t="s">
        <v>127</v>
      </c>
      <c r="B398" s="28" t="s">
        <v>376</v>
      </c>
    </row>
    <row r="399" spans="1:2" x14ac:dyDescent="0.25">
      <c r="A399" s="27" t="s">
        <v>129</v>
      </c>
      <c r="B399" s="28" t="s">
        <v>286</v>
      </c>
    </row>
    <row r="400" spans="1:2" x14ac:dyDescent="0.25">
      <c r="A400" s="27" t="s">
        <v>119</v>
      </c>
      <c r="B400" s="28" t="s">
        <v>377</v>
      </c>
    </row>
    <row r="401" spans="1:2" x14ac:dyDescent="0.25">
      <c r="A401" s="27" t="s">
        <v>121</v>
      </c>
      <c r="B401" s="28" t="s">
        <v>174</v>
      </c>
    </row>
    <row r="402" spans="1:2" x14ac:dyDescent="0.25">
      <c r="A402" s="27" t="s">
        <v>122</v>
      </c>
      <c r="B402" s="26">
        <v>3.9</v>
      </c>
    </row>
    <row r="403" spans="1:2" x14ac:dyDescent="0.25">
      <c r="A403" s="27" t="s">
        <v>123</v>
      </c>
      <c r="B403" s="28" t="s">
        <v>378</v>
      </c>
    </row>
    <row r="404" spans="1:2" x14ac:dyDescent="0.25">
      <c r="A404" s="27" t="s">
        <v>125</v>
      </c>
      <c r="B404" s="28" t="s">
        <v>155</v>
      </c>
    </row>
    <row r="405" spans="1:2" x14ac:dyDescent="0.25">
      <c r="A405" s="27" t="s">
        <v>127</v>
      </c>
      <c r="B405" s="28" t="s">
        <v>379</v>
      </c>
    </row>
    <row r="406" spans="1:2" x14ac:dyDescent="0.25">
      <c r="A406" s="27" t="s">
        <v>129</v>
      </c>
      <c r="B406" s="28" t="s">
        <v>380</v>
      </c>
    </row>
    <row r="407" spans="1:2" x14ac:dyDescent="0.25">
      <c r="A407" s="27"/>
      <c r="B407" s="28"/>
    </row>
    <row r="408" spans="1:2" x14ac:dyDescent="0.25">
      <c r="A408" s="27"/>
      <c r="B408" s="28"/>
    </row>
    <row r="409" spans="1:2" x14ac:dyDescent="0.25">
      <c r="A409" s="27"/>
      <c r="B409" s="28"/>
    </row>
    <row r="410" spans="1:2" x14ac:dyDescent="0.25">
      <c r="A410" s="27"/>
      <c r="B410" s="28"/>
    </row>
    <row r="411" spans="1:2" x14ac:dyDescent="0.25">
      <c r="A411" s="27"/>
      <c r="B411" s="28"/>
    </row>
    <row r="412" spans="1:2" x14ac:dyDescent="0.25">
      <c r="A412" s="27"/>
      <c r="B412" s="28"/>
    </row>
    <row r="413" spans="1:2" x14ac:dyDescent="0.25">
      <c r="A413" s="27"/>
      <c r="B413" s="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6334-70A6-44FD-8514-E526D126D968}">
  <sheetPr codeName="Sheet7"/>
  <dimension ref="A1:B408"/>
  <sheetViews>
    <sheetView workbookViewId="0"/>
  </sheetViews>
  <sheetFormatPr defaultRowHeight="15" x14ac:dyDescent="0.25"/>
  <sheetData>
    <row r="1" spans="1:2" x14ac:dyDescent="0.25">
      <c r="A1" s="27" t="s">
        <v>119</v>
      </c>
      <c r="B1" s="28" t="s">
        <v>120</v>
      </c>
    </row>
    <row r="2" spans="1:2" x14ac:dyDescent="0.25">
      <c r="A2" s="27" t="s">
        <v>121</v>
      </c>
      <c r="B2" s="28" t="s">
        <v>89</v>
      </c>
    </row>
    <row r="3" spans="1:2" x14ac:dyDescent="0.25">
      <c r="A3" s="27" t="s">
        <v>122</v>
      </c>
      <c r="B3" s="26">
        <v>2.7</v>
      </c>
    </row>
    <row r="4" spans="1:2" x14ac:dyDescent="0.25">
      <c r="A4" s="27" t="s">
        <v>123</v>
      </c>
      <c r="B4" s="28" t="s">
        <v>124</v>
      </c>
    </row>
    <row r="5" spans="1:2" x14ac:dyDescent="0.25">
      <c r="A5" s="27" t="s">
        <v>125</v>
      </c>
      <c r="B5" s="28" t="s">
        <v>126</v>
      </c>
    </row>
    <row r="6" spans="1:2" x14ac:dyDescent="0.25">
      <c r="A6" s="27" t="s">
        <v>127</v>
      </c>
      <c r="B6" s="28" t="s">
        <v>128</v>
      </c>
    </row>
    <row r="7" spans="1:2" x14ac:dyDescent="0.25">
      <c r="A7" s="27" t="s">
        <v>129</v>
      </c>
      <c r="B7" s="28" t="s">
        <v>130</v>
      </c>
    </row>
    <row r="8" spans="1:2" x14ac:dyDescent="0.25">
      <c r="A8" s="27" t="s">
        <v>119</v>
      </c>
      <c r="B8" s="28" t="s">
        <v>131</v>
      </c>
    </row>
    <row r="9" spans="1:2" x14ac:dyDescent="0.25">
      <c r="A9" s="27" t="s">
        <v>121</v>
      </c>
      <c r="B9" s="28" t="s">
        <v>132</v>
      </c>
    </row>
    <row r="10" spans="1:2" x14ac:dyDescent="0.25">
      <c r="A10" s="27" t="s">
        <v>122</v>
      </c>
      <c r="B10" s="26">
        <v>2.5</v>
      </c>
    </row>
    <row r="11" spans="1:2" x14ac:dyDescent="0.25">
      <c r="A11" s="27" t="s">
        <v>123</v>
      </c>
      <c r="B11" s="28" t="s">
        <v>133</v>
      </c>
    </row>
    <row r="12" spans="1:2" x14ac:dyDescent="0.25">
      <c r="A12" s="27" t="s">
        <v>125</v>
      </c>
      <c r="B12" s="28" t="s">
        <v>134</v>
      </c>
    </row>
    <row r="13" spans="1:2" x14ac:dyDescent="0.25">
      <c r="A13" s="27" t="s">
        <v>127</v>
      </c>
      <c r="B13" s="28" t="s">
        <v>135</v>
      </c>
    </row>
    <row r="14" spans="1:2" x14ac:dyDescent="0.25">
      <c r="A14" s="27" t="s">
        <v>129</v>
      </c>
      <c r="B14" s="28" t="s">
        <v>136</v>
      </c>
    </row>
    <row r="15" spans="1:2" x14ac:dyDescent="0.25">
      <c r="A15" s="27" t="s">
        <v>119</v>
      </c>
      <c r="B15" s="28" t="s">
        <v>137</v>
      </c>
    </row>
    <row r="16" spans="1:2" x14ac:dyDescent="0.25">
      <c r="A16" s="27" t="s">
        <v>121</v>
      </c>
      <c r="B16" s="28" t="s">
        <v>132</v>
      </c>
    </row>
    <row r="17" spans="1:2" x14ac:dyDescent="0.25">
      <c r="A17" s="27" t="s">
        <v>122</v>
      </c>
      <c r="B17" s="26">
        <v>3.9</v>
      </c>
    </row>
    <row r="18" spans="1:2" x14ac:dyDescent="0.25">
      <c r="A18" s="27" t="s">
        <v>123</v>
      </c>
      <c r="B18" s="28" t="s">
        <v>138</v>
      </c>
    </row>
    <row r="19" spans="1:2" x14ac:dyDescent="0.25">
      <c r="A19" s="27" t="s">
        <v>125</v>
      </c>
      <c r="B19" s="28" t="s">
        <v>139</v>
      </c>
    </row>
    <row r="20" spans="1:2" x14ac:dyDescent="0.25">
      <c r="A20" s="27" t="s">
        <v>127</v>
      </c>
      <c r="B20" s="28" t="s">
        <v>140</v>
      </c>
    </row>
    <row r="21" spans="1:2" x14ac:dyDescent="0.25">
      <c r="A21" s="27" t="s">
        <v>129</v>
      </c>
      <c r="B21" s="28" t="s">
        <v>141</v>
      </c>
    </row>
    <row r="22" spans="1:2" x14ac:dyDescent="0.25">
      <c r="A22" s="27" t="s">
        <v>119</v>
      </c>
      <c r="B22" s="28" t="s">
        <v>142</v>
      </c>
    </row>
    <row r="23" spans="1:2" x14ac:dyDescent="0.25">
      <c r="A23" s="27" t="s">
        <v>121</v>
      </c>
      <c r="B23" s="28" t="s">
        <v>143</v>
      </c>
    </row>
    <row r="24" spans="1:2" x14ac:dyDescent="0.25">
      <c r="A24" s="27" t="s">
        <v>122</v>
      </c>
      <c r="B24" s="26">
        <v>3.3</v>
      </c>
    </row>
    <row r="25" spans="1:2" x14ac:dyDescent="0.25">
      <c r="A25" s="27" t="s">
        <v>123</v>
      </c>
      <c r="B25" s="28" t="s">
        <v>144</v>
      </c>
    </row>
    <row r="26" spans="1:2" x14ac:dyDescent="0.25">
      <c r="A26" s="27" t="s">
        <v>125</v>
      </c>
      <c r="B26" s="28" t="s">
        <v>145</v>
      </c>
    </row>
    <row r="27" spans="1:2" x14ac:dyDescent="0.25">
      <c r="A27" s="27" t="s">
        <v>127</v>
      </c>
      <c r="B27" s="28" t="s">
        <v>146</v>
      </c>
    </row>
    <row r="28" spans="1:2" x14ac:dyDescent="0.25">
      <c r="A28" s="27" t="s">
        <v>129</v>
      </c>
      <c r="B28" s="28" t="s">
        <v>147</v>
      </c>
    </row>
    <row r="29" spans="1:2" x14ac:dyDescent="0.25">
      <c r="A29" s="27" t="s">
        <v>119</v>
      </c>
      <c r="B29" s="28" t="s">
        <v>148</v>
      </c>
    </row>
    <row r="30" spans="1:2" x14ac:dyDescent="0.25">
      <c r="A30" s="27" t="s">
        <v>121</v>
      </c>
      <c r="B30" s="28" t="s">
        <v>91</v>
      </c>
    </row>
    <row r="31" spans="1:2" x14ac:dyDescent="0.25">
      <c r="A31" s="27" t="s">
        <v>122</v>
      </c>
      <c r="B31" s="26">
        <v>2.9</v>
      </c>
    </row>
    <row r="32" spans="1:2" x14ac:dyDescent="0.25">
      <c r="A32" s="27" t="s">
        <v>123</v>
      </c>
      <c r="B32" s="28" t="s">
        <v>149</v>
      </c>
    </row>
    <row r="33" spans="1:2" x14ac:dyDescent="0.25">
      <c r="A33" s="27" t="s">
        <v>125</v>
      </c>
      <c r="B33" s="28" t="s">
        <v>150</v>
      </c>
    </row>
    <row r="34" spans="1:2" x14ac:dyDescent="0.25">
      <c r="A34" s="27" t="s">
        <v>127</v>
      </c>
      <c r="B34" s="28" t="s">
        <v>151</v>
      </c>
    </row>
    <row r="35" spans="1:2" x14ac:dyDescent="0.25">
      <c r="A35" s="27" t="s">
        <v>129</v>
      </c>
      <c r="B35" s="28" t="s">
        <v>152</v>
      </c>
    </row>
    <row r="36" spans="1:2" x14ac:dyDescent="0.25">
      <c r="A36" s="27" t="s">
        <v>119</v>
      </c>
      <c r="B36" s="28" t="s">
        <v>153</v>
      </c>
    </row>
    <row r="37" spans="1:2" x14ac:dyDescent="0.25">
      <c r="A37" s="27" t="s">
        <v>121</v>
      </c>
      <c r="B37" s="28" t="s">
        <v>90</v>
      </c>
    </row>
    <row r="38" spans="1:2" x14ac:dyDescent="0.25">
      <c r="A38" s="27" t="s">
        <v>122</v>
      </c>
      <c r="B38" s="26">
        <v>2.6</v>
      </c>
    </row>
    <row r="39" spans="1:2" x14ac:dyDescent="0.25">
      <c r="A39" s="27" t="s">
        <v>123</v>
      </c>
      <c r="B39" s="28" t="s">
        <v>154</v>
      </c>
    </row>
    <row r="40" spans="1:2" x14ac:dyDescent="0.25">
      <c r="A40" s="27" t="s">
        <v>125</v>
      </c>
      <c r="B40" s="28" t="s">
        <v>155</v>
      </c>
    </row>
    <row r="41" spans="1:2" x14ac:dyDescent="0.25">
      <c r="A41" s="27" t="s">
        <v>127</v>
      </c>
      <c r="B41" s="28" t="s">
        <v>156</v>
      </c>
    </row>
    <row r="42" spans="1:2" x14ac:dyDescent="0.25">
      <c r="A42" s="27" t="s">
        <v>129</v>
      </c>
      <c r="B42" s="28" t="s">
        <v>157</v>
      </c>
    </row>
    <row r="43" spans="1:2" x14ac:dyDescent="0.25">
      <c r="A43" s="27" t="s">
        <v>119</v>
      </c>
      <c r="B43" s="28" t="s">
        <v>158</v>
      </c>
    </row>
    <row r="44" spans="1:2" x14ac:dyDescent="0.25">
      <c r="A44" s="27" t="s">
        <v>121</v>
      </c>
      <c r="B44" s="28" t="s">
        <v>159</v>
      </c>
    </row>
    <row r="45" spans="1:2" x14ac:dyDescent="0.25">
      <c r="A45" s="27" t="s">
        <v>122</v>
      </c>
      <c r="B45" s="26">
        <v>3.8</v>
      </c>
    </row>
    <row r="46" spans="1:2" x14ac:dyDescent="0.25">
      <c r="A46" s="27" t="s">
        <v>123</v>
      </c>
      <c r="B46" s="28" t="s">
        <v>160</v>
      </c>
    </row>
    <row r="47" spans="1:2" x14ac:dyDescent="0.25">
      <c r="A47" s="27" t="s">
        <v>125</v>
      </c>
      <c r="B47" s="28" t="s">
        <v>139</v>
      </c>
    </row>
    <row r="48" spans="1:2" x14ac:dyDescent="0.25">
      <c r="A48" s="27" t="s">
        <v>127</v>
      </c>
      <c r="B48" s="28" t="s">
        <v>161</v>
      </c>
    </row>
    <row r="49" spans="1:2" x14ac:dyDescent="0.25">
      <c r="A49" s="27" t="s">
        <v>129</v>
      </c>
      <c r="B49" s="28" t="s">
        <v>162</v>
      </c>
    </row>
    <row r="50" spans="1:2" x14ac:dyDescent="0.25">
      <c r="A50" s="27" t="s">
        <v>119</v>
      </c>
      <c r="B50" s="28" t="s">
        <v>163</v>
      </c>
    </row>
    <row r="51" spans="1:2" x14ac:dyDescent="0.25">
      <c r="A51" s="27" t="s">
        <v>121</v>
      </c>
      <c r="B51" s="28" t="s">
        <v>164</v>
      </c>
    </row>
    <row r="52" spans="1:2" x14ac:dyDescent="0.25">
      <c r="A52" s="27" t="s">
        <v>122</v>
      </c>
      <c r="B52" s="26">
        <v>3.9</v>
      </c>
    </row>
    <row r="53" spans="1:2" x14ac:dyDescent="0.25">
      <c r="A53" s="27" t="s">
        <v>123</v>
      </c>
      <c r="B53" s="28" t="s">
        <v>165</v>
      </c>
    </row>
    <row r="54" spans="1:2" x14ac:dyDescent="0.25">
      <c r="A54" s="27" t="s">
        <v>125</v>
      </c>
      <c r="B54" s="28" t="s">
        <v>166</v>
      </c>
    </row>
    <row r="55" spans="1:2" x14ac:dyDescent="0.25">
      <c r="A55" s="27" t="s">
        <v>127</v>
      </c>
      <c r="B55" s="28" t="s">
        <v>167</v>
      </c>
    </row>
    <row r="56" spans="1:2" x14ac:dyDescent="0.25">
      <c r="A56" s="27" t="s">
        <v>129</v>
      </c>
      <c r="B56" s="28" t="s">
        <v>168</v>
      </c>
    </row>
    <row r="57" spans="1:2" x14ac:dyDescent="0.25">
      <c r="A57" s="27" t="s">
        <v>119</v>
      </c>
      <c r="B57" s="28" t="s">
        <v>169</v>
      </c>
    </row>
    <row r="58" spans="1:2" x14ac:dyDescent="0.25">
      <c r="A58" s="27" t="s">
        <v>121</v>
      </c>
      <c r="B58" s="28" t="s">
        <v>89</v>
      </c>
    </row>
    <row r="59" spans="1:2" x14ac:dyDescent="0.25">
      <c r="A59" s="27" t="s">
        <v>122</v>
      </c>
      <c r="B59" s="26">
        <v>3.5</v>
      </c>
    </row>
    <row r="60" spans="1:2" x14ac:dyDescent="0.25">
      <c r="A60" s="27" t="s">
        <v>123</v>
      </c>
      <c r="B60" s="28" t="s">
        <v>170</v>
      </c>
    </row>
    <row r="61" spans="1:2" x14ac:dyDescent="0.25">
      <c r="A61" s="27" t="s">
        <v>125</v>
      </c>
      <c r="B61" s="28" t="s">
        <v>171</v>
      </c>
    </row>
    <row r="62" spans="1:2" x14ac:dyDescent="0.25">
      <c r="A62" s="27" t="s">
        <v>127</v>
      </c>
      <c r="B62" s="28" t="s">
        <v>135</v>
      </c>
    </row>
    <row r="63" spans="1:2" x14ac:dyDescent="0.25">
      <c r="A63" s="27" t="s">
        <v>129</v>
      </c>
      <c r="B63" s="28" t="s">
        <v>172</v>
      </c>
    </row>
    <row r="64" spans="1:2" x14ac:dyDescent="0.25">
      <c r="A64" s="27" t="s">
        <v>119</v>
      </c>
      <c r="B64" s="28" t="s">
        <v>173</v>
      </c>
    </row>
    <row r="65" spans="1:2" x14ac:dyDescent="0.25">
      <c r="A65" s="27" t="s">
        <v>121</v>
      </c>
      <c r="B65" s="28" t="s">
        <v>174</v>
      </c>
    </row>
    <row r="66" spans="1:2" x14ac:dyDescent="0.25">
      <c r="A66" s="27" t="s">
        <v>122</v>
      </c>
      <c r="B66" s="26">
        <v>2.9</v>
      </c>
    </row>
    <row r="67" spans="1:2" x14ac:dyDescent="0.25">
      <c r="A67" s="27" t="s">
        <v>123</v>
      </c>
      <c r="B67" s="28" t="s">
        <v>175</v>
      </c>
    </row>
    <row r="68" spans="1:2" x14ac:dyDescent="0.25">
      <c r="A68" s="27" t="s">
        <v>125</v>
      </c>
      <c r="B68" s="28" t="s">
        <v>176</v>
      </c>
    </row>
    <row r="69" spans="1:2" x14ac:dyDescent="0.25">
      <c r="A69" s="27" t="s">
        <v>127</v>
      </c>
      <c r="B69" s="28" t="s">
        <v>177</v>
      </c>
    </row>
    <row r="70" spans="1:2" x14ac:dyDescent="0.25">
      <c r="A70" s="27" t="s">
        <v>129</v>
      </c>
      <c r="B70" s="28" t="s">
        <v>178</v>
      </c>
    </row>
    <row r="71" spans="1:2" x14ac:dyDescent="0.25">
      <c r="A71" s="27" t="s">
        <v>119</v>
      </c>
      <c r="B71" s="28" t="s">
        <v>179</v>
      </c>
    </row>
    <row r="72" spans="1:2" x14ac:dyDescent="0.25">
      <c r="A72" s="27" t="s">
        <v>121</v>
      </c>
      <c r="B72" s="28" t="s">
        <v>132</v>
      </c>
    </row>
    <row r="73" spans="1:2" x14ac:dyDescent="0.25">
      <c r="A73" s="27" t="s">
        <v>122</v>
      </c>
      <c r="B73" s="26">
        <v>3.1</v>
      </c>
    </row>
    <row r="74" spans="1:2" x14ac:dyDescent="0.25">
      <c r="A74" s="27" t="s">
        <v>123</v>
      </c>
      <c r="B74" s="28" t="s">
        <v>180</v>
      </c>
    </row>
    <row r="75" spans="1:2" x14ac:dyDescent="0.25">
      <c r="A75" s="27" t="s">
        <v>125</v>
      </c>
      <c r="B75" s="28" t="s">
        <v>181</v>
      </c>
    </row>
    <row r="76" spans="1:2" x14ac:dyDescent="0.25">
      <c r="A76" s="27" t="s">
        <v>127</v>
      </c>
      <c r="B76" s="28" t="s">
        <v>182</v>
      </c>
    </row>
    <row r="77" spans="1:2" x14ac:dyDescent="0.25">
      <c r="A77" s="27" t="s">
        <v>129</v>
      </c>
      <c r="B77" s="28" t="s">
        <v>183</v>
      </c>
    </row>
    <row r="78" spans="1:2" x14ac:dyDescent="0.25">
      <c r="A78" s="27" t="s">
        <v>119</v>
      </c>
      <c r="B78" s="28" t="s">
        <v>184</v>
      </c>
    </row>
    <row r="79" spans="1:2" x14ac:dyDescent="0.25">
      <c r="A79" s="27" t="s">
        <v>121</v>
      </c>
      <c r="B79" s="28" t="s">
        <v>143</v>
      </c>
    </row>
    <row r="80" spans="1:2" x14ac:dyDescent="0.25">
      <c r="A80" s="27" t="s">
        <v>122</v>
      </c>
      <c r="B80" s="26">
        <v>3.3</v>
      </c>
    </row>
    <row r="81" spans="1:2" x14ac:dyDescent="0.25">
      <c r="A81" s="27" t="s">
        <v>123</v>
      </c>
      <c r="B81" s="28" t="s">
        <v>185</v>
      </c>
    </row>
    <row r="82" spans="1:2" x14ac:dyDescent="0.25">
      <c r="A82" s="27" t="s">
        <v>125</v>
      </c>
      <c r="B82" s="28" t="s">
        <v>186</v>
      </c>
    </row>
    <row r="83" spans="1:2" x14ac:dyDescent="0.25">
      <c r="A83" s="27" t="s">
        <v>127</v>
      </c>
      <c r="B83" s="28" t="s">
        <v>187</v>
      </c>
    </row>
    <row r="84" spans="1:2" x14ac:dyDescent="0.25">
      <c r="A84" s="27" t="s">
        <v>129</v>
      </c>
      <c r="B84" s="28" t="s">
        <v>188</v>
      </c>
    </row>
    <row r="85" spans="1:2" x14ac:dyDescent="0.25">
      <c r="A85" s="27" t="s">
        <v>119</v>
      </c>
      <c r="B85" s="28" t="s">
        <v>189</v>
      </c>
    </row>
    <row r="86" spans="1:2" x14ac:dyDescent="0.25">
      <c r="A86" s="27" t="s">
        <v>121</v>
      </c>
      <c r="B86" s="28" t="s">
        <v>91</v>
      </c>
    </row>
    <row r="87" spans="1:2" x14ac:dyDescent="0.25">
      <c r="A87" s="27" t="s">
        <v>122</v>
      </c>
      <c r="B87" s="26">
        <v>2.6</v>
      </c>
    </row>
    <row r="88" spans="1:2" x14ac:dyDescent="0.25">
      <c r="A88" s="27" t="s">
        <v>123</v>
      </c>
      <c r="B88" s="28" t="s">
        <v>190</v>
      </c>
    </row>
    <row r="89" spans="1:2" x14ac:dyDescent="0.25">
      <c r="A89" s="27" t="s">
        <v>125</v>
      </c>
      <c r="B89" s="28" t="s">
        <v>191</v>
      </c>
    </row>
    <row r="90" spans="1:2" x14ac:dyDescent="0.25">
      <c r="A90" s="27" t="s">
        <v>127</v>
      </c>
      <c r="B90" s="28" t="s">
        <v>192</v>
      </c>
    </row>
    <row r="91" spans="1:2" x14ac:dyDescent="0.25">
      <c r="A91" s="27" t="s">
        <v>129</v>
      </c>
      <c r="B91" s="28" t="s">
        <v>193</v>
      </c>
    </row>
    <row r="92" spans="1:2" x14ac:dyDescent="0.25">
      <c r="A92" s="27" t="s">
        <v>119</v>
      </c>
      <c r="B92" s="28" t="s">
        <v>194</v>
      </c>
    </row>
    <row r="93" spans="1:2" x14ac:dyDescent="0.25">
      <c r="A93" s="27" t="s">
        <v>121</v>
      </c>
      <c r="B93" s="28" t="s">
        <v>90</v>
      </c>
    </row>
    <row r="94" spans="1:2" x14ac:dyDescent="0.25">
      <c r="A94" s="27" t="s">
        <v>122</v>
      </c>
      <c r="B94" s="26">
        <v>3.5</v>
      </c>
    </row>
    <row r="95" spans="1:2" x14ac:dyDescent="0.25">
      <c r="A95" s="27" t="s">
        <v>123</v>
      </c>
      <c r="B95" s="28" t="s">
        <v>195</v>
      </c>
    </row>
    <row r="96" spans="1:2" x14ac:dyDescent="0.25">
      <c r="A96" s="27" t="s">
        <v>125</v>
      </c>
      <c r="B96" s="28" t="s">
        <v>155</v>
      </c>
    </row>
    <row r="97" spans="1:2" x14ac:dyDescent="0.25">
      <c r="A97" s="27" t="s">
        <v>127</v>
      </c>
      <c r="B97" s="28" t="s">
        <v>196</v>
      </c>
    </row>
    <row r="98" spans="1:2" x14ac:dyDescent="0.25">
      <c r="A98" s="27" t="s">
        <v>129</v>
      </c>
      <c r="B98" s="28" t="s">
        <v>197</v>
      </c>
    </row>
    <row r="99" spans="1:2" x14ac:dyDescent="0.25">
      <c r="A99" s="27" t="s">
        <v>119</v>
      </c>
      <c r="B99" s="28" t="s">
        <v>198</v>
      </c>
    </row>
    <row r="100" spans="1:2" x14ac:dyDescent="0.25">
      <c r="A100" s="27" t="s">
        <v>121</v>
      </c>
      <c r="B100" s="28" t="s">
        <v>159</v>
      </c>
    </row>
    <row r="101" spans="1:2" x14ac:dyDescent="0.25">
      <c r="A101" s="27" t="s">
        <v>122</v>
      </c>
      <c r="B101" s="26">
        <v>3</v>
      </c>
    </row>
    <row r="102" spans="1:2" x14ac:dyDescent="0.25">
      <c r="A102" s="27" t="s">
        <v>123</v>
      </c>
      <c r="B102" s="28" t="s">
        <v>199</v>
      </c>
    </row>
    <row r="103" spans="1:2" x14ac:dyDescent="0.25">
      <c r="A103" s="27" t="s">
        <v>125</v>
      </c>
      <c r="B103" s="28" t="s">
        <v>145</v>
      </c>
    </row>
    <row r="104" spans="1:2" x14ac:dyDescent="0.25">
      <c r="A104" s="27" t="s">
        <v>127</v>
      </c>
      <c r="B104" s="28" t="s">
        <v>200</v>
      </c>
    </row>
    <row r="105" spans="1:2" x14ac:dyDescent="0.25">
      <c r="A105" s="27" t="s">
        <v>129</v>
      </c>
      <c r="B105" s="28" t="s">
        <v>201</v>
      </c>
    </row>
    <row r="106" spans="1:2" x14ac:dyDescent="0.25">
      <c r="A106" s="27" t="s">
        <v>119</v>
      </c>
      <c r="B106" s="28" t="s">
        <v>202</v>
      </c>
    </row>
    <row r="107" spans="1:2" x14ac:dyDescent="0.25">
      <c r="A107" s="27" t="s">
        <v>121</v>
      </c>
      <c r="B107" s="28" t="s">
        <v>164</v>
      </c>
    </row>
    <row r="108" spans="1:2" x14ac:dyDescent="0.25">
      <c r="A108" s="27" t="s">
        <v>122</v>
      </c>
      <c r="B108" s="26">
        <v>3.4</v>
      </c>
    </row>
    <row r="109" spans="1:2" x14ac:dyDescent="0.25">
      <c r="A109" s="27" t="s">
        <v>123</v>
      </c>
      <c r="B109" s="28" t="s">
        <v>203</v>
      </c>
    </row>
    <row r="110" spans="1:2" x14ac:dyDescent="0.25">
      <c r="A110" s="27" t="s">
        <v>125</v>
      </c>
      <c r="B110" s="28" t="s">
        <v>204</v>
      </c>
    </row>
    <row r="111" spans="1:2" x14ac:dyDescent="0.25">
      <c r="A111" s="27" t="s">
        <v>127</v>
      </c>
      <c r="B111" s="28" t="s">
        <v>205</v>
      </c>
    </row>
    <row r="112" spans="1:2" x14ac:dyDescent="0.25">
      <c r="A112" s="27" t="s">
        <v>129</v>
      </c>
      <c r="B112" s="28" t="s">
        <v>206</v>
      </c>
    </row>
    <row r="113" spans="1:2" x14ac:dyDescent="0.25">
      <c r="A113" s="27" t="s">
        <v>119</v>
      </c>
      <c r="B113" s="28" t="s">
        <v>207</v>
      </c>
    </row>
    <row r="114" spans="1:2" x14ac:dyDescent="0.25">
      <c r="A114" s="27" t="s">
        <v>121</v>
      </c>
      <c r="B114" s="28" t="s">
        <v>89</v>
      </c>
    </row>
    <row r="115" spans="1:2" x14ac:dyDescent="0.25">
      <c r="A115" s="27" t="s">
        <v>122</v>
      </c>
      <c r="B115" s="26">
        <v>3.8</v>
      </c>
    </row>
    <row r="116" spans="1:2" x14ac:dyDescent="0.25">
      <c r="A116" s="27" t="s">
        <v>123</v>
      </c>
      <c r="B116" s="28" t="s">
        <v>208</v>
      </c>
    </row>
    <row r="117" spans="1:2" x14ac:dyDescent="0.25">
      <c r="A117" s="27" t="s">
        <v>125</v>
      </c>
      <c r="B117" s="28" t="s">
        <v>155</v>
      </c>
    </row>
    <row r="118" spans="1:2" x14ac:dyDescent="0.25">
      <c r="A118" s="27" t="s">
        <v>127</v>
      </c>
      <c r="B118" s="28" t="s">
        <v>209</v>
      </c>
    </row>
    <row r="119" spans="1:2" x14ac:dyDescent="0.25">
      <c r="A119" s="27" t="s">
        <v>129</v>
      </c>
      <c r="B119" s="28" t="s">
        <v>210</v>
      </c>
    </row>
    <row r="120" spans="1:2" x14ac:dyDescent="0.25">
      <c r="A120" s="27" t="s">
        <v>119</v>
      </c>
      <c r="B120" s="28" t="s">
        <v>211</v>
      </c>
    </row>
    <row r="121" spans="1:2" x14ac:dyDescent="0.25">
      <c r="A121" s="27" t="s">
        <v>121</v>
      </c>
      <c r="B121" s="28" t="s">
        <v>174</v>
      </c>
    </row>
    <row r="122" spans="1:2" x14ac:dyDescent="0.25">
      <c r="A122" s="27" t="s">
        <v>122</v>
      </c>
      <c r="B122" s="26">
        <v>3.9</v>
      </c>
    </row>
    <row r="123" spans="1:2" x14ac:dyDescent="0.25">
      <c r="A123" s="27" t="s">
        <v>123</v>
      </c>
      <c r="B123" s="28" t="s">
        <v>212</v>
      </c>
    </row>
    <row r="124" spans="1:2" x14ac:dyDescent="0.25">
      <c r="A124" s="27" t="s">
        <v>125</v>
      </c>
      <c r="B124" s="28" t="s">
        <v>126</v>
      </c>
    </row>
    <row r="125" spans="1:2" x14ac:dyDescent="0.25">
      <c r="A125" s="27" t="s">
        <v>127</v>
      </c>
      <c r="B125" s="28" t="s">
        <v>213</v>
      </c>
    </row>
    <row r="126" spans="1:2" x14ac:dyDescent="0.25">
      <c r="A126" s="27" t="s">
        <v>129</v>
      </c>
      <c r="B126" s="28" t="s">
        <v>214</v>
      </c>
    </row>
    <row r="127" spans="1:2" x14ac:dyDescent="0.25">
      <c r="A127" s="27" t="s">
        <v>119</v>
      </c>
      <c r="B127" s="28" t="s">
        <v>215</v>
      </c>
    </row>
    <row r="128" spans="1:2" x14ac:dyDescent="0.25">
      <c r="A128" s="27" t="s">
        <v>121</v>
      </c>
      <c r="B128" s="28" t="s">
        <v>132</v>
      </c>
    </row>
    <row r="129" spans="1:2" x14ac:dyDescent="0.25">
      <c r="A129" s="27" t="s">
        <v>122</v>
      </c>
      <c r="B129" s="26">
        <v>2.8</v>
      </c>
    </row>
    <row r="130" spans="1:2" x14ac:dyDescent="0.25">
      <c r="A130" s="27" t="s">
        <v>123</v>
      </c>
      <c r="B130" s="28" t="s">
        <v>216</v>
      </c>
    </row>
    <row r="131" spans="1:2" x14ac:dyDescent="0.25">
      <c r="A131" s="27" t="s">
        <v>125</v>
      </c>
      <c r="B131" s="28" t="s">
        <v>139</v>
      </c>
    </row>
    <row r="132" spans="1:2" x14ac:dyDescent="0.25">
      <c r="A132" s="27" t="s">
        <v>127</v>
      </c>
      <c r="B132" s="28" t="s">
        <v>217</v>
      </c>
    </row>
    <row r="133" spans="1:2" x14ac:dyDescent="0.25">
      <c r="A133" s="27" t="s">
        <v>129</v>
      </c>
      <c r="B133" s="28" t="s">
        <v>218</v>
      </c>
    </row>
    <row r="134" spans="1:2" x14ac:dyDescent="0.25">
      <c r="A134" s="27" t="s">
        <v>119</v>
      </c>
      <c r="B134" s="28" t="s">
        <v>219</v>
      </c>
    </row>
    <row r="135" spans="1:2" x14ac:dyDescent="0.25">
      <c r="A135" s="27" t="s">
        <v>121</v>
      </c>
      <c r="B135" s="28" t="s">
        <v>143</v>
      </c>
    </row>
    <row r="136" spans="1:2" x14ac:dyDescent="0.25">
      <c r="A136" s="27" t="s">
        <v>122</v>
      </c>
      <c r="B136" s="26">
        <v>2.7</v>
      </c>
    </row>
    <row r="137" spans="1:2" x14ac:dyDescent="0.25">
      <c r="A137" s="27" t="s">
        <v>123</v>
      </c>
      <c r="B137" s="28" t="s">
        <v>220</v>
      </c>
    </row>
    <row r="138" spans="1:2" x14ac:dyDescent="0.25">
      <c r="A138" s="27" t="s">
        <v>125</v>
      </c>
      <c r="B138" s="28" t="s">
        <v>221</v>
      </c>
    </row>
    <row r="139" spans="1:2" x14ac:dyDescent="0.25">
      <c r="A139" s="27" t="s">
        <v>127</v>
      </c>
      <c r="B139" s="28" t="s">
        <v>222</v>
      </c>
    </row>
    <row r="140" spans="1:2" x14ac:dyDescent="0.25">
      <c r="A140" s="27" t="s">
        <v>129</v>
      </c>
      <c r="B140" s="28" t="s">
        <v>223</v>
      </c>
    </row>
    <row r="141" spans="1:2" x14ac:dyDescent="0.25">
      <c r="A141" s="27" t="s">
        <v>119</v>
      </c>
      <c r="B141" s="28" t="s">
        <v>224</v>
      </c>
    </row>
    <row r="142" spans="1:2" x14ac:dyDescent="0.25">
      <c r="A142" s="27" t="s">
        <v>121</v>
      </c>
      <c r="B142" s="28" t="s">
        <v>91</v>
      </c>
    </row>
    <row r="143" spans="1:2" x14ac:dyDescent="0.25">
      <c r="A143" s="27" t="s">
        <v>122</v>
      </c>
      <c r="B143" s="26">
        <v>4</v>
      </c>
    </row>
    <row r="144" spans="1:2" x14ac:dyDescent="0.25">
      <c r="A144" s="27" t="s">
        <v>123</v>
      </c>
      <c r="B144" s="28" t="s">
        <v>225</v>
      </c>
    </row>
    <row r="145" spans="1:2" x14ac:dyDescent="0.25">
      <c r="A145" s="27" t="s">
        <v>125</v>
      </c>
      <c r="B145" s="28" t="s">
        <v>226</v>
      </c>
    </row>
    <row r="146" spans="1:2" x14ac:dyDescent="0.25">
      <c r="A146" s="27" t="s">
        <v>127</v>
      </c>
      <c r="B146" s="28" t="s">
        <v>227</v>
      </c>
    </row>
    <row r="147" spans="1:2" x14ac:dyDescent="0.25">
      <c r="A147" s="27" t="s">
        <v>129</v>
      </c>
      <c r="B147" s="28" t="s">
        <v>228</v>
      </c>
    </row>
    <row r="148" spans="1:2" x14ac:dyDescent="0.25">
      <c r="A148" s="27" t="s">
        <v>119</v>
      </c>
      <c r="B148" s="28" t="s">
        <v>229</v>
      </c>
    </row>
    <row r="149" spans="1:2" x14ac:dyDescent="0.25">
      <c r="A149" s="27" t="s">
        <v>121</v>
      </c>
      <c r="B149" s="28" t="s">
        <v>90</v>
      </c>
    </row>
    <row r="150" spans="1:2" x14ac:dyDescent="0.25">
      <c r="A150" s="27" t="s">
        <v>122</v>
      </c>
      <c r="B150" s="26">
        <v>3.5</v>
      </c>
    </row>
    <row r="151" spans="1:2" x14ac:dyDescent="0.25">
      <c r="A151" s="27" t="s">
        <v>123</v>
      </c>
      <c r="B151" s="28" t="s">
        <v>230</v>
      </c>
    </row>
    <row r="152" spans="1:2" x14ac:dyDescent="0.25">
      <c r="A152" s="27" t="s">
        <v>125</v>
      </c>
      <c r="B152" s="28" t="s">
        <v>231</v>
      </c>
    </row>
    <row r="153" spans="1:2" x14ac:dyDescent="0.25">
      <c r="A153" s="27" t="s">
        <v>127</v>
      </c>
      <c r="B153" s="28" t="s">
        <v>232</v>
      </c>
    </row>
    <row r="154" spans="1:2" x14ac:dyDescent="0.25">
      <c r="A154" s="27" t="s">
        <v>129</v>
      </c>
      <c r="B154" s="28" t="s">
        <v>233</v>
      </c>
    </row>
    <row r="155" spans="1:2" x14ac:dyDescent="0.25">
      <c r="A155" s="27" t="s">
        <v>119</v>
      </c>
      <c r="B155" s="28" t="s">
        <v>234</v>
      </c>
    </row>
    <row r="156" spans="1:2" x14ac:dyDescent="0.25">
      <c r="A156" s="27" t="s">
        <v>121</v>
      </c>
      <c r="B156" s="28" t="s">
        <v>159</v>
      </c>
    </row>
    <row r="157" spans="1:2" x14ac:dyDescent="0.25">
      <c r="A157" s="27" t="s">
        <v>122</v>
      </c>
      <c r="B157" s="26">
        <v>3.8</v>
      </c>
    </row>
    <row r="158" spans="1:2" x14ac:dyDescent="0.25">
      <c r="A158" s="27" t="s">
        <v>123</v>
      </c>
      <c r="B158" s="28" t="s">
        <v>235</v>
      </c>
    </row>
    <row r="159" spans="1:2" x14ac:dyDescent="0.25">
      <c r="A159" s="27" t="s">
        <v>125</v>
      </c>
      <c r="B159" s="28" t="s">
        <v>236</v>
      </c>
    </row>
    <row r="160" spans="1:2" x14ac:dyDescent="0.25">
      <c r="A160" s="27" t="s">
        <v>127</v>
      </c>
      <c r="B160" s="28" t="s">
        <v>237</v>
      </c>
    </row>
    <row r="161" spans="1:2" x14ac:dyDescent="0.25">
      <c r="A161" s="27" t="s">
        <v>129</v>
      </c>
      <c r="B161" s="28" t="s">
        <v>238</v>
      </c>
    </row>
    <row r="162" spans="1:2" x14ac:dyDescent="0.25">
      <c r="A162" s="27" t="s">
        <v>119</v>
      </c>
      <c r="B162" s="28" t="s">
        <v>239</v>
      </c>
    </row>
    <row r="163" spans="1:2" x14ac:dyDescent="0.25">
      <c r="A163" s="27" t="s">
        <v>121</v>
      </c>
      <c r="B163" s="28" t="s">
        <v>164</v>
      </c>
    </row>
    <row r="164" spans="1:2" x14ac:dyDescent="0.25">
      <c r="A164" s="27" t="s">
        <v>122</v>
      </c>
      <c r="B164" s="26">
        <v>2.9</v>
      </c>
    </row>
    <row r="165" spans="1:2" x14ac:dyDescent="0.25">
      <c r="A165" s="27" t="s">
        <v>123</v>
      </c>
      <c r="B165" s="28" t="s">
        <v>240</v>
      </c>
    </row>
    <row r="166" spans="1:2" x14ac:dyDescent="0.25">
      <c r="A166" s="27" t="s">
        <v>125</v>
      </c>
      <c r="B166" s="28" t="s">
        <v>155</v>
      </c>
    </row>
    <row r="167" spans="1:2" x14ac:dyDescent="0.25">
      <c r="A167" s="27" t="s">
        <v>127</v>
      </c>
      <c r="B167" s="28" t="s">
        <v>241</v>
      </c>
    </row>
    <row r="168" spans="1:2" x14ac:dyDescent="0.25">
      <c r="A168" s="27" t="s">
        <v>129</v>
      </c>
      <c r="B168" s="28" t="s">
        <v>242</v>
      </c>
    </row>
    <row r="169" spans="1:2" x14ac:dyDescent="0.25">
      <c r="A169" s="27" t="s">
        <v>119</v>
      </c>
      <c r="B169" s="28" t="s">
        <v>243</v>
      </c>
    </row>
    <row r="170" spans="1:2" x14ac:dyDescent="0.25">
      <c r="A170" s="27" t="s">
        <v>121</v>
      </c>
      <c r="B170" s="28" t="s">
        <v>89</v>
      </c>
    </row>
    <row r="171" spans="1:2" x14ac:dyDescent="0.25">
      <c r="A171" s="27" t="s">
        <v>122</v>
      </c>
      <c r="B171" s="26">
        <v>3.6</v>
      </c>
    </row>
    <row r="172" spans="1:2" x14ac:dyDescent="0.25">
      <c r="A172" s="27" t="s">
        <v>123</v>
      </c>
      <c r="B172" s="28" t="s">
        <v>244</v>
      </c>
    </row>
    <row r="173" spans="1:2" x14ac:dyDescent="0.25">
      <c r="A173" s="27" t="s">
        <v>125</v>
      </c>
      <c r="B173" s="28" t="s">
        <v>245</v>
      </c>
    </row>
    <row r="174" spans="1:2" x14ac:dyDescent="0.25">
      <c r="A174" s="27" t="s">
        <v>127</v>
      </c>
      <c r="B174" s="28" t="s">
        <v>246</v>
      </c>
    </row>
    <row r="175" spans="1:2" x14ac:dyDescent="0.25">
      <c r="A175" s="27" t="s">
        <v>129</v>
      </c>
      <c r="B175" s="28" t="s">
        <v>247</v>
      </c>
    </row>
    <row r="176" spans="1:2" x14ac:dyDescent="0.25">
      <c r="A176" s="27" t="s">
        <v>119</v>
      </c>
      <c r="B176" s="28" t="s">
        <v>248</v>
      </c>
    </row>
    <row r="177" spans="1:2" x14ac:dyDescent="0.25">
      <c r="A177" s="27" t="s">
        <v>121</v>
      </c>
      <c r="B177" s="28" t="s">
        <v>174</v>
      </c>
    </row>
    <row r="178" spans="1:2" x14ac:dyDescent="0.25">
      <c r="A178" s="27" t="s">
        <v>122</v>
      </c>
      <c r="B178" s="26">
        <v>3.6</v>
      </c>
    </row>
    <row r="179" spans="1:2" x14ac:dyDescent="0.25">
      <c r="A179" s="27" t="s">
        <v>123</v>
      </c>
      <c r="B179" s="28" t="s">
        <v>249</v>
      </c>
    </row>
    <row r="180" spans="1:2" x14ac:dyDescent="0.25">
      <c r="A180" s="27" t="s">
        <v>125</v>
      </c>
      <c r="B180" s="28" t="s">
        <v>221</v>
      </c>
    </row>
    <row r="181" spans="1:2" x14ac:dyDescent="0.25">
      <c r="A181" s="27" t="s">
        <v>127</v>
      </c>
      <c r="B181" s="28" t="s">
        <v>250</v>
      </c>
    </row>
    <row r="182" spans="1:2" x14ac:dyDescent="0.25">
      <c r="A182" s="27" t="s">
        <v>129</v>
      </c>
      <c r="B182" s="28" t="s">
        <v>251</v>
      </c>
    </row>
    <row r="183" spans="1:2" x14ac:dyDescent="0.25">
      <c r="A183" s="27" t="s">
        <v>119</v>
      </c>
      <c r="B183" s="28" t="s">
        <v>252</v>
      </c>
    </row>
    <row r="184" spans="1:2" x14ac:dyDescent="0.25">
      <c r="A184" s="27" t="s">
        <v>121</v>
      </c>
      <c r="B184" s="28" t="s">
        <v>132</v>
      </c>
    </row>
    <row r="185" spans="1:2" x14ac:dyDescent="0.25">
      <c r="A185" s="27" t="s">
        <v>122</v>
      </c>
      <c r="B185" s="26">
        <v>3.8</v>
      </c>
    </row>
    <row r="186" spans="1:2" x14ac:dyDescent="0.25">
      <c r="A186" s="27" t="s">
        <v>123</v>
      </c>
      <c r="B186" s="28" t="s">
        <v>253</v>
      </c>
    </row>
    <row r="187" spans="1:2" x14ac:dyDescent="0.25">
      <c r="A187" s="27" t="s">
        <v>125</v>
      </c>
      <c r="B187" s="28" t="s">
        <v>139</v>
      </c>
    </row>
    <row r="188" spans="1:2" x14ac:dyDescent="0.25">
      <c r="A188" s="27" t="s">
        <v>127</v>
      </c>
      <c r="B188" s="28" t="s">
        <v>254</v>
      </c>
    </row>
    <row r="189" spans="1:2" x14ac:dyDescent="0.25">
      <c r="A189" s="27" t="s">
        <v>129</v>
      </c>
      <c r="B189" s="28" t="s">
        <v>255</v>
      </c>
    </row>
    <row r="190" spans="1:2" x14ac:dyDescent="0.25">
      <c r="A190" s="27" t="s">
        <v>119</v>
      </c>
      <c r="B190" s="28" t="s">
        <v>256</v>
      </c>
    </row>
    <row r="191" spans="1:2" x14ac:dyDescent="0.25">
      <c r="A191" s="27" t="s">
        <v>121</v>
      </c>
      <c r="B191" s="28" t="s">
        <v>143</v>
      </c>
    </row>
    <row r="192" spans="1:2" x14ac:dyDescent="0.25">
      <c r="A192" s="27" t="s">
        <v>122</v>
      </c>
      <c r="B192" s="26">
        <v>3.1</v>
      </c>
    </row>
    <row r="193" spans="1:2" x14ac:dyDescent="0.25">
      <c r="A193" s="27" t="s">
        <v>123</v>
      </c>
      <c r="B193" s="28" t="s">
        <v>257</v>
      </c>
    </row>
    <row r="194" spans="1:2" x14ac:dyDescent="0.25">
      <c r="A194" s="27" t="s">
        <v>125</v>
      </c>
      <c r="B194" s="28" t="s">
        <v>134</v>
      </c>
    </row>
    <row r="195" spans="1:2" x14ac:dyDescent="0.25">
      <c r="A195" s="27" t="s">
        <v>127</v>
      </c>
      <c r="B195" s="28" t="s">
        <v>258</v>
      </c>
    </row>
    <row r="196" spans="1:2" x14ac:dyDescent="0.25">
      <c r="A196" s="27" t="s">
        <v>129</v>
      </c>
      <c r="B196" s="28" t="s">
        <v>259</v>
      </c>
    </row>
    <row r="197" spans="1:2" x14ac:dyDescent="0.25">
      <c r="A197" s="27" t="s">
        <v>119</v>
      </c>
      <c r="B197" s="28" t="s">
        <v>260</v>
      </c>
    </row>
    <row r="198" spans="1:2" x14ac:dyDescent="0.25">
      <c r="A198" s="27" t="s">
        <v>121</v>
      </c>
      <c r="B198" s="28" t="s">
        <v>91</v>
      </c>
    </row>
    <row r="199" spans="1:2" x14ac:dyDescent="0.25">
      <c r="A199" s="27" t="s">
        <v>122</v>
      </c>
      <c r="B199" s="26">
        <v>2.7</v>
      </c>
    </row>
    <row r="200" spans="1:2" x14ac:dyDescent="0.25">
      <c r="A200" s="27" t="s">
        <v>123</v>
      </c>
      <c r="B200" s="28" t="s">
        <v>261</v>
      </c>
    </row>
    <row r="201" spans="1:2" x14ac:dyDescent="0.25">
      <c r="A201" s="27" t="s">
        <v>125</v>
      </c>
      <c r="B201" s="28" t="s">
        <v>226</v>
      </c>
    </row>
    <row r="202" spans="1:2" x14ac:dyDescent="0.25">
      <c r="A202" s="27" t="s">
        <v>127</v>
      </c>
      <c r="B202" s="28" t="s">
        <v>262</v>
      </c>
    </row>
    <row r="203" spans="1:2" x14ac:dyDescent="0.25">
      <c r="A203" s="27" t="s">
        <v>129</v>
      </c>
      <c r="B203" s="28" t="s">
        <v>263</v>
      </c>
    </row>
    <row r="204" spans="1:2" x14ac:dyDescent="0.25">
      <c r="A204" s="27" t="s">
        <v>119</v>
      </c>
      <c r="B204" s="28" t="s">
        <v>264</v>
      </c>
    </row>
    <row r="205" spans="1:2" x14ac:dyDescent="0.25">
      <c r="A205" s="27" t="s">
        <v>121</v>
      </c>
      <c r="B205" s="28" t="s">
        <v>90</v>
      </c>
    </row>
    <row r="206" spans="1:2" x14ac:dyDescent="0.25">
      <c r="A206" s="27" t="s">
        <v>122</v>
      </c>
      <c r="B206" s="26">
        <v>3.3</v>
      </c>
    </row>
    <row r="207" spans="1:2" x14ac:dyDescent="0.25">
      <c r="A207" s="27" t="s">
        <v>123</v>
      </c>
      <c r="B207" s="28" t="s">
        <v>265</v>
      </c>
    </row>
    <row r="208" spans="1:2" x14ac:dyDescent="0.25">
      <c r="A208" s="27" t="s">
        <v>125</v>
      </c>
      <c r="B208" s="28" t="s">
        <v>221</v>
      </c>
    </row>
    <row r="209" spans="1:2" x14ac:dyDescent="0.25">
      <c r="A209" s="27" t="s">
        <v>127</v>
      </c>
      <c r="B209" s="28" t="s">
        <v>266</v>
      </c>
    </row>
    <row r="210" spans="1:2" x14ac:dyDescent="0.25">
      <c r="A210" s="27" t="s">
        <v>129</v>
      </c>
      <c r="B210" s="28" t="s">
        <v>267</v>
      </c>
    </row>
    <row r="211" spans="1:2" x14ac:dyDescent="0.25">
      <c r="A211" s="27" t="s">
        <v>119</v>
      </c>
      <c r="B211" s="28" t="s">
        <v>268</v>
      </c>
    </row>
    <row r="212" spans="1:2" x14ac:dyDescent="0.25">
      <c r="A212" s="27" t="s">
        <v>121</v>
      </c>
      <c r="B212" s="28" t="s">
        <v>159</v>
      </c>
    </row>
    <row r="213" spans="1:2" x14ac:dyDescent="0.25">
      <c r="A213" s="27" t="s">
        <v>122</v>
      </c>
      <c r="B213" s="26">
        <v>2.7</v>
      </c>
    </row>
    <row r="214" spans="1:2" x14ac:dyDescent="0.25">
      <c r="A214" s="27" t="s">
        <v>123</v>
      </c>
      <c r="B214" s="28" t="s">
        <v>175</v>
      </c>
    </row>
    <row r="215" spans="1:2" x14ac:dyDescent="0.25">
      <c r="A215" s="27" t="s">
        <v>125</v>
      </c>
      <c r="B215" s="28" t="s">
        <v>176</v>
      </c>
    </row>
    <row r="216" spans="1:2" x14ac:dyDescent="0.25">
      <c r="A216" s="27" t="s">
        <v>127</v>
      </c>
      <c r="B216" s="28" t="s">
        <v>269</v>
      </c>
    </row>
    <row r="217" spans="1:2" x14ac:dyDescent="0.25">
      <c r="A217" s="27" t="s">
        <v>129</v>
      </c>
      <c r="B217" s="28" t="s">
        <v>270</v>
      </c>
    </row>
    <row r="218" spans="1:2" x14ac:dyDescent="0.25">
      <c r="A218" s="27" t="s">
        <v>119</v>
      </c>
      <c r="B218" s="28" t="s">
        <v>271</v>
      </c>
    </row>
    <row r="219" spans="1:2" x14ac:dyDescent="0.25">
      <c r="A219" s="27" t="s">
        <v>121</v>
      </c>
      <c r="B219" s="28" t="s">
        <v>164</v>
      </c>
    </row>
    <row r="220" spans="1:2" x14ac:dyDescent="0.25">
      <c r="A220" s="27" t="s">
        <v>122</v>
      </c>
      <c r="B220" s="26">
        <v>2.7</v>
      </c>
    </row>
    <row r="221" spans="1:2" x14ac:dyDescent="0.25">
      <c r="A221" s="27" t="s">
        <v>123</v>
      </c>
      <c r="B221" s="28" t="s">
        <v>272</v>
      </c>
    </row>
    <row r="222" spans="1:2" x14ac:dyDescent="0.25">
      <c r="A222" s="27" t="s">
        <v>125</v>
      </c>
      <c r="B222" s="28" t="s">
        <v>171</v>
      </c>
    </row>
    <row r="223" spans="1:2" x14ac:dyDescent="0.25">
      <c r="A223" s="27" t="s">
        <v>127</v>
      </c>
      <c r="B223" s="28" t="s">
        <v>273</v>
      </c>
    </row>
    <row r="224" spans="1:2" x14ac:dyDescent="0.25">
      <c r="A224" s="27" t="s">
        <v>129</v>
      </c>
      <c r="B224" s="28" t="s">
        <v>274</v>
      </c>
    </row>
    <row r="225" spans="1:2" x14ac:dyDescent="0.25">
      <c r="A225" s="27" t="s">
        <v>119</v>
      </c>
      <c r="B225" s="28" t="s">
        <v>275</v>
      </c>
    </row>
    <row r="226" spans="1:2" x14ac:dyDescent="0.25">
      <c r="A226" s="27" t="s">
        <v>121</v>
      </c>
      <c r="B226" s="28" t="s">
        <v>89</v>
      </c>
    </row>
    <row r="227" spans="1:2" x14ac:dyDescent="0.25">
      <c r="A227" s="27" t="s">
        <v>122</v>
      </c>
      <c r="B227" s="26">
        <v>4</v>
      </c>
    </row>
    <row r="228" spans="1:2" x14ac:dyDescent="0.25">
      <c r="A228" s="27" t="s">
        <v>123</v>
      </c>
      <c r="B228" s="28" t="s">
        <v>276</v>
      </c>
    </row>
    <row r="229" spans="1:2" x14ac:dyDescent="0.25">
      <c r="A229" s="27" t="s">
        <v>125</v>
      </c>
      <c r="B229" s="28" t="s">
        <v>221</v>
      </c>
    </row>
    <row r="230" spans="1:2" x14ac:dyDescent="0.25">
      <c r="A230" s="27" t="s">
        <v>127</v>
      </c>
      <c r="B230" s="28" t="s">
        <v>277</v>
      </c>
    </row>
    <row r="231" spans="1:2" x14ac:dyDescent="0.25">
      <c r="A231" s="27" t="s">
        <v>129</v>
      </c>
      <c r="B231" s="28" t="s">
        <v>278</v>
      </c>
    </row>
    <row r="232" spans="1:2" x14ac:dyDescent="0.25">
      <c r="A232" s="27" t="s">
        <v>119</v>
      </c>
      <c r="B232" s="28" t="s">
        <v>279</v>
      </c>
    </row>
    <row r="233" spans="1:2" x14ac:dyDescent="0.25">
      <c r="A233" s="27" t="s">
        <v>121</v>
      </c>
      <c r="B233" s="28" t="s">
        <v>174</v>
      </c>
    </row>
    <row r="234" spans="1:2" x14ac:dyDescent="0.25">
      <c r="A234" s="27" t="s">
        <v>122</v>
      </c>
      <c r="B234" s="26">
        <v>3.2</v>
      </c>
    </row>
    <row r="235" spans="1:2" x14ac:dyDescent="0.25">
      <c r="A235" s="27" t="s">
        <v>123</v>
      </c>
      <c r="B235" s="28" t="s">
        <v>280</v>
      </c>
    </row>
    <row r="236" spans="1:2" x14ac:dyDescent="0.25">
      <c r="A236" s="27" t="s">
        <v>125</v>
      </c>
      <c r="B236" s="28" t="s">
        <v>126</v>
      </c>
    </row>
    <row r="237" spans="1:2" x14ac:dyDescent="0.25">
      <c r="A237" s="27" t="s">
        <v>127</v>
      </c>
      <c r="B237" s="28" t="s">
        <v>281</v>
      </c>
    </row>
    <row r="238" spans="1:2" x14ac:dyDescent="0.25">
      <c r="A238" s="27" t="s">
        <v>129</v>
      </c>
      <c r="B238" s="28" t="s">
        <v>282</v>
      </c>
    </row>
    <row r="239" spans="1:2" x14ac:dyDescent="0.25">
      <c r="A239" s="27" t="s">
        <v>119</v>
      </c>
      <c r="B239" s="28" t="s">
        <v>283</v>
      </c>
    </row>
    <row r="240" spans="1:2" x14ac:dyDescent="0.25">
      <c r="A240" s="27" t="s">
        <v>121</v>
      </c>
      <c r="B240" s="28" t="s">
        <v>132</v>
      </c>
    </row>
    <row r="241" spans="1:2" x14ac:dyDescent="0.25">
      <c r="A241" s="27" t="s">
        <v>122</v>
      </c>
      <c r="B241" s="26">
        <v>3.5</v>
      </c>
    </row>
    <row r="242" spans="1:2" x14ac:dyDescent="0.25">
      <c r="A242" s="27" t="s">
        <v>123</v>
      </c>
      <c r="B242" s="28" t="s">
        <v>284</v>
      </c>
    </row>
    <row r="243" spans="1:2" x14ac:dyDescent="0.25">
      <c r="A243" s="27" t="s">
        <v>125</v>
      </c>
      <c r="B243" s="28" t="s">
        <v>134</v>
      </c>
    </row>
    <row r="244" spans="1:2" x14ac:dyDescent="0.25">
      <c r="A244" s="27" t="s">
        <v>127</v>
      </c>
      <c r="B244" s="28" t="s">
        <v>285</v>
      </c>
    </row>
    <row r="245" spans="1:2" x14ac:dyDescent="0.25">
      <c r="A245" s="27" t="s">
        <v>129</v>
      </c>
      <c r="B245" s="28" t="s">
        <v>286</v>
      </c>
    </row>
    <row r="246" spans="1:2" x14ac:dyDescent="0.25">
      <c r="A246" s="27" t="s">
        <v>119</v>
      </c>
      <c r="B246" s="28" t="s">
        <v>287</v>
      </c>
    </row>
    <row r="247" spans="1:2" x14ac:dyDescent="0.25">
      <c r="A247" s="27" t="s">
        <v>121</v>
      </c>
      <c r="B247" s="28" t="s">
        <v>143</v>
      </c>
    </row>
    <row r="248" spans="1:2" x14ac:dyDescent="0.25">
      <c r="A248" s="27" t="s">
        <v>122</v>
      </c>
      <c r="B248" s="26">
        <v>2.8</v>
      </c>
    </row>
    <row r="249" spans="1:2" x14ac:dyDescent="0.25">
      <c r="A249" s="27" t="s">
        <v>123</v>
      </c>
      <c r="B249" s="28" t="s">
        <v>288</v>
      </c>
    </row>
    <row r="250" spans="1:2" x14ac:dyDescent="0.25">
      <c r="A250" s="27" t="s">
        <v>125</v>
      </c>
      <c r="B250" s="28" t="s">
        <v>139</v>
      </c>
    </row>
    <row r="251" spans="1:2" x14ac:dyDescent="0.25">
      <c r="A251" s="27" t="s">
        <v>127</v>
      </c>
      <c r="B251" s="28" t="s">
        <v>289</v>
      </c>
    </row>
    <row r="252" spans="1:2" x14ac:dyDescent="0.25">
      <c r="A252" s="27" t="s">
        <v>129</v>
      </c>
      <c r="B252" s="28" t="s">
        <v>290</v>
      </c>
    </row>
    <row r="253" spans="1:2" x14ac:dyDescent="0.25">
      <c r="A253" s="27" t="s">
        <v>119</v>
      </c>
      <c r="B253" s="28" t="s">
        <v>291</v>
      </c>
    </row>
    <row r="254" spans="1:2" x14ac:dyDescent="0.25">
      <c r="A254" s="27" t="s">
        <v>121</v>
      </c>
      <c r="B254" s="28" t="s">
        <v>91</v>
      </c>
    </row>
    <row r="255" spans="1:2" x14ac:dyDescent="0.25">
      <c r="A255" s="27" t="s">
        <v>122</v>
      </c>
      <c r="B255" s="26">
        <v>3.5</v>
      </c>
    </row>
    <row r="256" spans="1:2" x14ac:dyDescent="0.25">
      <c r="A256" s="27" t="s">
        <v>123</v>
      </c>
      <c r="B256" s="28" t="s">
        <v>292</v>
      </c>
    </row>
    <row r="257" spans="1:2" x14ac:dyDescent="0.25">
      <c r="A257" s="27" t="s">
        <v>125</v>
      </c>
      <c r="B257" s="28" t="s">
        <v>139</v>
      </c>
    </row>
    <row r="258" spans="1:2" x14ac:dyDescent="0.25">
      <c r="A258" s="27" t="s">
        <v>127</v>
      </c>
      <c r="B258" s="28" t="s">
        <v>293</v>
      </c>
    </row>
    <row r="259" spans="1:2" x14ac:dyDescent="0.25">
      <c r="A259" s="27" t="s">
        <v>129</v>
      </c>
      <c r="B259" s="28" t="s">
        <v>294</v>
      </c>
    </row>
    <row r="260" spans="1:2" x14ac:dyDescent="0.25">
      <c r="A260" s="27" t="s">
        <v>119</v>
      </c>
      <c r="B260" s="28" t="s">
        <v>295</v>
      </c>
    </row>
    <row r="261" spans="1:2" x14ac:dyDescent="0.25">
      <c r="A261" s="27" t="s">
        <v>121</v>
      </c>
      <c r="B261" s="28" t="s">
        <v>90</v>
      </c>
    </row>
    <row r="262" spans="1:2" x14ac:dyDescent="0.25">
      <c r="A262" s="27" t="s">
        <v>122</v>
      </c>
      <c r="B262" s="26">
        <v>2.9</v>
      </c>
    </row>
    <row r="263" spans="1:2" x14ac:dyDescent="0.25">
      <c r="A263" s="27" t="s">
        <v>123</v>
      </c>
      <c r="B263" s="28" t="s">
        <v>296</v>
      </c>
    </row>
    <row r="264" spans="1:2" x14ac:dyDescent="0.25">
      <c r="A264" s="27" t="s">
        <v>125</v>
      </c>
      <c r="B264" s="28" t="s">
        <v>297</v>
      </c>
    </row>
    <row r="265" spans="1:2" x14ac:dyDescent="0.25">
      <c r="A265" s="27" t="s">
        <v>127</v>
      </c>
      <c r="B265" s="28" t="s">
        <v>298</v>
      </c>
    </row>
    <row r="266" spans="1:2" x14ac:dyDescent="0.25">
      <c r="A266" s="27" t="s">
        <v>129</v>
      </c>
      <c r="B266" s="28" t="s">
        <v>299</v>
      </c>
    </row>
    <row r="267" spans="1:2" x14ac:dyDescent="0.25">
      <c r="A267" s="27" t="s">
        <v>119</v>
      </c>
      <c r="B267" s="28" t="s">
        <v>300</v>
      </c>
    </row>
    <row r="268" spans="1:2" x14ac:dyDescent="0.25">
      <c r="A268" s="27" t="s">
        <v>121</v>
      </c>
      <c r="B268" s="28" t="s">
        <v>159</v>
      </c>
    </row>
    <row r="269" spans="1:2" x14ac:dyDescent="0.25">
      <c r="A269" s="27" t="s">
        <v>122</v>
      </c>
      <c r="B269" s="26">
        <v>2.9</v>
      </c>
    </row>
    <row r="270" spans="1:2" x14ac:dyDescent="0.25">
      <c r="A270" s="27" t="s">
        <v>123</v>
      </c>
      <c r="B270" s="28" t="s">
        <v>301</v>
      </c>
    </row>
    <row r="271" spans="1:2" x14ac:dyDescent="0.25">
      <c r="A271" s="27" t="s">
        <v>125</v>
      </c>
      <c r="B271" s="28" t="s">
        <v>126</v>
      </c>
    </row>
    <row r="272" spans="1:2" x14ac:dyDescent="0.25">
      <c r="A272" s="27" t="s">
        <v>127</v>
      </c>
      <c r="B272" s="28" t="s">
        <v>302</v>
      </c>
    </row>
    <row r="273" spans="1:2" x14ac:dyDescent="0.25">
      <c r="A273" s="27" t="s">
        <v>129</v>
      </c>
      <c r="B273" s="28" t="s">
        <v>303</v>
      </c>
    </row>
    <row r="274" spans="1:2" x14ac:dyDescent="0.25">
      <c r="A274" s="27" t="s">
        <v>119</v>
      </c>
      <c r="B274" s="28" t="s">
        <v>304</v>
      </c>
    </row>
    <row r="275" spans="1:2" x14ac:dyDescent="0.25">
      <c r="A275" s="27" t="s">
        <v>121</v>
      </c>
      <c r="B275" s="28" t="s">
        <v>164</v>
      </c>
    </row>
    <row r="276" spans="1:2" x14ac:dyDescent="0.25">
      <c r="A276" s="27" t="s">
        <v>122</v>
      </c>
      <c r="B276" s="26">
        <v>3</v>
      </c>
    </row>
    <row r="277" spans="1:2" x14ac:dyDescent="0.25">
      <c r="A277" s="27" t="s">
        <v>123</v>
      </c>
      <c r="B277" s="28" t="s">
        <v>305</v>
      </c>
    </row>
    <row r="278" spans="1:2" x14ac:dyDescent="0.25">
      <c r="A278" s="27" t="s">
        <v>125</v>
      </c>
      <c r="B278" s="28" t="s">
        <v>171</v>
      </c>
    </row>
    <row r="279" spans="1:2" x14ac:dyDescent="0.25">
      <c r="A279" s="27" t="s">
        <v>127</v>
      </c>
      <c r="B279" s="28" t="s">
        <v>306</v>
      </c>
    </row>
    <row r="280" spans="1:2" x14ac:dyDescent="0.25">
      <c r="A280" s="27" t="s">
        <v>129</v>
      </c>
      <c r="B280" s="28" t="s">
        <v>307</v>
      </c>
    </row>
    <row r="281" spans="1:2" x14ac:dyDescent="0.25">
      <c r="A281" s="27" t="s">
        <v>119</v>
      </c>
      <c r="B281" s="28" t="s">
        <v>308</v>
      </c>
    </row>
    <row r="282" spans="1:2" x14ac:dyDescent="0.25">
      <c r="A282" s="27" t="s">
        <v>121</v>
      </c>
      <c r="B282" s="28" t="s">
        <v>89</v>
      </c>
    </row>
    <row r="283" spans="1:2" x14ac:dyDescent="0.25">
      <c r="A283" s="27" t="s">
        <v>122</v>
      </c>
      <c r="B283" s="26">
        <v>2.9</v>
      </c>
    </row>
    <row r="284" spans="1:2" x14ac:dyDescent="0.25">
      <c r="A284" s="27" t="s">
        <v>123</v>
      </c>
      <c r="B284" s="28" t="s">
        <v>309</v>
      </c>
    </row>
    <row r="285" spans="1:2" x14ac:dyDescent="0.25">
      <c r="A285" s="27" t="s">
        <v>125</v>
      </c>
      <c r="B285" s="28" t="s">
        <v>310</v>
      </c>
    </row>
    <row r="286" spans="1:2" x14ac:dyDescent="0.25">
      <c r="A286" s="27" t="s">
        <v>127</v>
      </c>
      <c r="B286" s="28" t="s">
        <v>311</v>
      </c>
    </row>
    <row r="287" spans="1:2" x14ac:dyDescent="0.25">
      <c r="A287" s="27" t="s">
        <v>129</v>
      </c>
      <c r="B287" s="28" t="s">
        <v>312</v>
      </c>
    </row>
    <row r="288" spans="1:2" x14ac:dyDescent="0.25">
      <c r="A288" s="27" t="s">
        <v>119</v>
      </c>
      <c r="B288" s="28" t="s">
        <v>313</v>
      </c>
    </row>
    <row r="289" spans="1:2" x14ac:dyDescent="0.25">
      <c r="A289" s="27" t="s">
        <v>121</v>
      </c>
      <c r="B289" s="28" t="s">
        <v>174</v>
      </c>
    </row>
    <row r="290" spans="1:2" x14ac:dyDescent="0.25">
      <c r="A290" s="27" t="s">
        <v>122</v>
      </c>
      <c r="B290" s="26">
        <v>3.2</v>
      </c>
    </row>
    <row r="291" spans="1:2" x14ac:dyDescent="0.25">
      <c r="A291" s="27" t="s">
        <v>123</v>
      </c>
      <c r="B291" s="28" t="s">
        <v>314</v>
      </c>
    </row>
    <row r="292" spans="1:2" x14ac:dyDescent="0.25">
      <c r="A292" s="27" t="s">
        <v>125</v>
      </c>
      <c r="B292" s="28" t="s">
        <v>315</v>
      </c>
    </row>
    <row r="293" spans="1:2" x14ac:dyDescent="0.25">
      <c r="A293" s="27" t="s">
        <v>127</v>
      </c>
      <c r="B293" s="28" t="s">
        <v>316</v>
      </c>
    </row>
    <row r="294" spans="1:2" x14ac:dyDescent="0.25">
      <c r="A294" s="27" t="s">
        <v>129</v>
      </c>
      <c r="B294" s="28" t="s">
        <v>317</v>
      </c>
    </row>
    <row r="295" spans="1:2" x14ac:dyDescent="0.25">
      <c r="A295" s="27" t="s">
        <v>119</v>
      </c>
      <c r="B295" s="28" t="s">
        <v>318</v>
      </c>
    </row>
    <row r="296" spans="1:2" x14ac:dyDescent="0.25">
      <c r="A296" s="27" t="s">
        <v>121</v>
      </c>
      <c r="B296" s="28" t="s">
        <v>132</v>
      </c>
    </row>
    <row r="297" spans="1:2" x14ac:dyDescent="0.25">
      <c r="A297" s="27" t="s">
        <v>122</v>
      </c>
      <c r="B297" s="26">
        <v>2.7</v>
      </c>
    </row>
    <row r="298" spans="1:2" x14ac:dyDescent="0.25">
      <c r="A298" s="27" t="s">
        <v>123</v>
      </c>
      <c r="B298" s="28" t="s">
        <v>319</v>
      </c>
    </row>
    <row r="299" spans="1:2" x14ac:dyDescent="0.25">
      <c r="A299" s="27" t="s">
        <v>125</v>
      </c>
      <c r="B299" s="28" t="s">
        <v>181</v>
      </c>
    </row>
    <row r="300" spans="1:2" x14ac:dyDescent="0.25">
      <c r="A300" s="27" t="s">
        <v>127</v>
      </c>
      <c r="B300" s="28" t="s">
        <v>320</v>
      </c>
    </row>
    <row r="301" spans="1:2" x14ac:dyDescent="0.25">
      <c r="A301" s="27" t="s">
        <v>129</v>
      </c>
      <c r="B301" s="28" t="s">
        <v>321</v>
      </c>
    </row>
    <row r="302" spans="1:2" x14ac:dyDescent="0.25">
      <c r="A302" s="27" t="s">
        <v>119</v>
      </c>
      <c r="B302" s="28" t="s">
        <v>322</v>
      </c>
    </row>
    <row r="303" spans="1:2" x14ac:dyDescent="0.25">
      <c r="A303" s="27" t="s">
        <v>121</v>
      </c>
      <c r="B303" s="28" t="s">
        <v>143</v>
      </c>
    </row>
    <row r="304" spans="1:2" x14ac:dyDescent="0.25">
      <c r="A304" s="27" t="s">
        <v>122</v>
      </c>
      <c r="B304" s="26">
        <v>3.7</v>
      </c>
    </row>
    <row r="305" spans="1:2" x14ac:dyDescent="0.25">
      <c r="A305" s="27" t="s">
        <v>123</v>
      </c>
      <c r="B305" s="28" t="s">
        <v>323</v>
      </c>
    </row>
    <row r="306" spans="1:2" x14ac:dyDescent="0.25">
      <c r="A306" s="27" t="s">
        <v>125</v>
      </c>
      <c r="B306" s="28" t="s">
        <v>126</v>
      </c>
    </row>
    <row r="307" spans="1:2" x14ac:dyDescent="0.25">
      <c r="A307" s="27" t="s">
        <v>127</v>
      </c>
      <c r="B307" s="28" t="s">
        <v>324</v>
      </c>
    </row>
    <row r="308" spans="1:2" x14ac:dyDescent="0.25">
      <c r="A308" s="27" t="s">
        <v>129</v>
      </c>
      <c r="B308" s="28" t="s">
        <v>325</v>
      </c>
    </row>
    <row r="309" spans="1:2" x14ac:dyDescent="0.25">
      <c r="A309" s="27" t="s">
        <v>119</v>
      </c>
      <c r="B309" s="28" t="s">
        <v>326</v>
      </c>
    </row>
    <row r="310" spans="1:2" x14ac:dyDescent="0.25">
      <c r="A310" s="27" t="s">
        <v>121</v>
      </c>
      <c r="B310" s="28" t="s">
        <v>91</v>
      </c>
    </row>
    <row r="311" spans="1:2" x14ac:dyDescent="0.25">
      <c r="A311" s="27" t="s">
        <v>122</v>
      </c>
      <c r="B311" s="26">
        <v>2.9</v>
      </c>
    </row>
    <row r="312" spans="1:2" x14ac:dyDescent="0.25">
      <c r="A312" s="27" t="s">
        <v>123</v>
      </c>
      <c r="B312" s="28" t="s">
        <v>327</v>
      </c>
    </row>
    <row r="313" spans="1:2" x14ac:dyDescent="0.25">
      <c r="A313" s="27" t="s">
        <v>125</v>
      </c>
      <c r="B313" s="28" t="s">
        <v>245</v>
      </c>
    </row>
    <row r="314" spans="1:2" x14ac:dyDescent="0.25">
      <c r="A314" s="27" t="s">
        <v>127</v>
      </c>
      <c r="B314" s="28" t="s">
        <v>328</v>
      </c>
    </row>
    <row r="315" spans="1:2" x14ac:dyDescent="0.25">
      <c r="A315" s="27" t="s">
        <v>129</v>
      </c>
      <c r="B315" s="28" t="s">
        <v>329</v>
      </c>
    </row>
    <row r="316" spans="1:2" x14ac:dyDescent="0.25">
      <c r="A316" s="27" t="s">
        <v>119</v>
      </c>
      <c r="B316" s="28" t="s">
        <v>330</v>
      </c>
    </row>
    <row r="317" spans="1:2" x14ac:dyDescent="0.25">
      <c r="A317" s="27" t="s">
        <v>121</v>
      </c>
      <c r="B317" s="28" t="s">
        <v>90</v>
      </c>
    </row>
    <row r="318" spans="1:2" x14ac:dyDescent="0.25">
      <c r="A318" s="27" t="s">
        <v>122</v>
      </c>
      <c r="B318" s="26">
        <v>3.3</v>
      </c>
    </row>
    <row r="319" spans="1:2" x14ac:dyDescent="0.25">
      <c r="A319" s="27" t="s">
        <v>123</v>
      </c>
      <c r="B319" s="28" t="s">
        <v>331</v>
      </c>
    </row>
    <row r="320" spans="1:2" x14ac:dyDescent="0.25">
      <c r="A320" s="27" t="s">
        <v>125</v>
      </c>
      <c r="B320" s="28" t="s">
        <v>297</v>
      </c>
    </row>
    <row r="321" spans="1:2" x14ac:dyDescent="0.25">
      <c r="A321" s="27" t="s">
        <v>127</v>
      </c>
      <c r="B321" s="28" t="s">
        <v>332</v>
      </c>
    </row>
    <row r="322" spans="1:2" x14ac:dyDescent="0.25">
      <c r="A322" s="27" t="s">
        <v>129</v>
      </c>
      <c r="B322" s="28" t="s">
        <v>333</v>
      </c>
    </row>
    <row r="323" spans="1:2" x14ac:dyDescent="0.25">
      <c r="A323" s="27" t="s">
        <v>119</v>
      </c>
      <c r="B323" s="28" t="s">
        <v>334</v>
      </c>
    </row>
    <row r="324" spans="1:2" x14ac:dyDescent="0.25">
      <c r="A324" s="27" t="s">
        <v>121</v>
      </c>
      <c r="B324" s="28" t="s">
        <v>159</v>
      </c>
    </row>
    <row r="325" spans="1:2" x14ac:dyDescent="0.25">
      <c r="A325" s="27" t="s">
        <v>122</v>
      </c>
      <c r="B325" s="26">
        <v>2.7</v>
      </c>
    </row>
    <row r="326" spans="1:2" x14ac:dyDescent="0.25">
      <c r="A326" s="27" t="s">
        <v>123</v>
      </c>
      <c r="B326" s="28" t="s">
        <v>335</v>
      </c>
    </row>
    <row r="327" spans="1:2" x14ac:dyDescent="0.25">
      <c r="A327" s="27" t="s">
        <v>125</v>
      </c>
      <c r="B327" s="28" t="s">
        <v>126</v>
      </c>
    </row>
    <row r="328" spans="1:2" x14ac:dyDescent="0.25">
      <c r="A328" s="27" t="s">
        <v>127</v>
      </c>
      <c r="B328" s="28" t="s">
        <v>336</v>
      </c>
    </row>
    <row r="329" spans="1:2" x14ac:dyDescent="0.25">
      <c r="A329" s="27" t="s">
        <v>129</v>
      </c>
      <c r="B329" s="28" t="s">
        <v>337</v>
      </c>
    </row>
    <row r="330" spans="1:2" x14ac:dyDescent="0.25">
      <c r="A330" s="27" t="s">
        <v>119</v>
      </c>
      <c r="B330" s="28" t="s">
        <v>338</v>
      </c>
    </row>
    <row r="331" spans="1:2" x14ac:dyDescent="0.25">
      <c r="A331" s="27" t="s">
        <v>121</v>
      </c>
      <c r="B331" s="28" t="s">
        <v>164</v>
      </c>
    </row>
    <row r="332" spans="1:2" x14ac:dyDescent="0.25">
      <c r="A332" s="27" t="s">
        <v>122</v>
      </c>
      <c r="B332" s="26">
        <v>3</v>
      </c>
    </row>
    <row r="333" spans="1:2" x14ac:dyDescent="0.25">
      <c r="A333" s="27" t="s">
        <v>123</v>
      </c>
      <c r="B333" s="28" t="s">
        <v>339</v>
      </c>
    </row>
    <row r="334" spans="1:2" x14ac:dyDescent="0.25">
      <c r="A334" s="27" t="s">
        <v>125</v>
      </c>
      <c r="B334" s="28" t="s">
        <v>340</v>
      </c>
    </row>
    <row r="335" spans="1:2" x14ac:dyDescent="0.25">
      <c r="A335" s="27" t="s">
        <v>127</v>
      </c>
      <c r="B335" s="28" t="s">
        <v>341</v>
      </c>
    </row>
    <row r="336" spans="1:2" x14ac:dyDescent="0.25">
      <c r="A336" s="27" t="s">
        <v>129</v>
      </c>
      <c r="B336" s="28" t="s">
        <v>342</v>
      </c>
    </row>
    <row r="337" spans="1:2" x14ac:dyDescent="0.25">
      <c r="A337" s="27" t="s">
        <v>119</v>
      </c>
      <c r="B337" s="28" t="s">
        <v>343</v>
      </c>
    </row>
    <row r="338" spans="1:2" x14ac:dyDescent="0.25">
      <c r="A338" s="27" t="s">
        <v>121</v>
      </c>
      <c r="B338" s="28" t="s">
        <v>89</v>
      </c>
    </row>
    <row r="339" spans="1:2" x14ac:dyDescent="0.25">
      <c r="A339" s="27" t="s">
        <v>122</v>
      </c>
      <c r="B339" s="26">
        <v>2.8</v>
      </c>
    </row>
    <row r="340" spans="1:2" x14ac:dyDescent="0.25">
      <c r="A340" s="27" t="s">
        <v>123</v>
      </c>
      <c r="B340" s="28" t="s">
        <v>344</v>
      </c>
    </row>
    <row r="341" spans="1:2" x14ac:dyDescent="0.25">
      <c r="A341" s="27" t="s">
        <v>125</v>
      </c>
      <c r="B341" s="28" t="s">
        <v>171</v>
      </c>
    </row>
    <row r="342" spans="1:2" x14ac:dyDescent="0.25">
      <c r="A342" s="27" t="s">
        <v>127</v>
      </c>
      <c r="B342" s="28" t="s">
        <v>345</v>
      </c>
    </row>
    <row r="343" spans="1:2" x14ac:dyDescent="0.25">
      <c r="A343" s="27" t="s">
        <v>129</v>
      </c>
      <c r="B343" s="28" t="s">
        <v>346</v>
      </c>
    </row>
    <row r="344" spans="1:2" x14ac:dyDescent="0.25">
      <c r="A344" s="27" t="s">
        <v>119</v>
      </c>
      <c r="B344" s="28" t="s">
        <v>347</v>
      </c>
    </row>
    <row r="345" spans="1:2" x14ac:dyDescent="0.25">
      <c r="A345" s="27" t="s">
        <v>121</v>
      </c>
      <c r="B345" s="28" t="s">
        <v>174</v>
      </c>
    </row>
    <row r="346" spans="1:2" x14ac:dyDescent="0.25">
      <c r="A346" s="27" t="s">
        <v>122</v>
      </c>
      <c r="B346" s="26">
        <v>2.5</v>
      </c>
    </row>
    <row r="347" spans="1:2" x14ac:dyDescent="0.25">
      <c r="A347" s="27" t="s">
        <v>123</v>
      </c>
      <c r="B347" s="28" t="s">
        <v>348</v>
      </c>
    </row>
    <row r="348" spans="1:2" x14ac:dyDescent="0.25">
      <c r="A348" s="27" t="s">
        <v>125</v>
      </c>
      <c r="B348" s="28" t="s">
        <v>231</v>
      </c>
    </row>
    <row r="349" spans="1:2" x14ac:dyDescent="0.25">
      <c r="A349" s="27" t="s">
        <v>127</v>
      </c>
      <c r="B349" s="28" t="s">
        <v>349</v>
      </c>
    </row>
    <row r="350" spans="1:2" x14ac:dyDescent="0.25">
      <c r="A350" s="27" t="s">
        <v>129</v>
      </c>
      <c r="B350" s="28" t="s">
        <v>350</v>
      </c>
    </row>
    <row r="351" spans="1:2" x14ac:dyDescent="0.25">
      <c r="A351" s="27" t="s">
        <v>119</v>
      </c>
      <c r="B351" s="28" t="s">
        <v>351</v>
      </c>
    </row>
    <row r="352" spans="1:2" x14ac:dyDescent="0.25">
      <c r="A352" s="27" t="s">
        <v>121</v>
      </c>
      <c r="B352" s="28" t="s">
        <v>132</v>
      </c>
    </row>
    <row r="353" spans="1:2" x14ac:dyDescent="0.25">
      <c r="A353" s="27" t="s">
        <v>122</v>
      </c>
      <c r="B353" s="26">
        <v>2.9</v>
      </c>
    </row>
    <row r="354" spans="1:2" x14ac:dyDescent="0.25">
      <c r="A354" s="27" t="s">
        <v>123</v>
      </c>
      <c r="B354" s="28" t="s">
        <v>352</v>
      </c>
    </row>
    <row r="355" spans="1:2" x14ac:dyDescent="0.25">
      <c r="A355" s="27" t="s">
        <v>125</v>
      </c>
      <c r="B355" s="28" t="s">
        <v>353</v>
      </c>
    </row>
    <row r="356" spans="1:2" x14ac:dyDescent="0.25">
      <c r="A356" s="27" t="s">
        <v>127</v>
      </c>
      <c r="B356" s="28" t="s">
        <v>354</v>
      </c>
    </row>
    <row r="357" spans="1:2" x14ac:dyDescent="0.25">
      <c r="A357" s="27" t="s">
        <v>129</v>
      </c>
      <c r="B357" s="28" t="s">
        <v>355</v>
      </c>
    </row>
    <row r="358" spans="1:2" x14ac:dyDescent="0.25">
      <c r="A358" s="27" t="s">
        <v>119</v>
      </c>
      <c r="B358" s="28" t="s">
        <v>356</v>
      </c>
    </row>
    <row r="359" spans="1:2" x14ac:dyDescent="0.25">
      <c r="A359" s="27" t="s">
        <v>121</v>
      </c>
      <c r="B359" s="28" t="s">
        <v>143</v>
      </c>
    </row>
    <row r="360" spans="1:2" x14ac:dyDescent="0.25">
      <c r="A360" s="27" t="s">
        <v>122</v>
      </c>
      <c r="B360" s="26">
        <v>3.3</v>
      </c>
    </row>
    <row r="361" spans="1:2" x14ac:dyDescent="0.25">
      <c r="A361" s="27" t="s">
        <v>123</v>
      </c>
      <c r="B361" s="28" t="s">
        <v>357</v>
      </c>
    </row>
    <row r="362" spans="1:2" x14ac:dyDescent="0.25">
      <c r="A362" s="27" t="s">
        <v>125</v>
      </c>
      <c r="B362" s="28" t="s">
        <v>171</v>
      </c>
    </row>
    <row r="363" spans="1:2" x14ac:dyDescent="0.25">
      <c r="A363" s="27" t="s">
        <v>127</v>
      </c>
      <c r="B363" s="28" t="s">
        <v>358</v>
      </c>
    </row>
    <row r="364" spans="1:2" x14ac:dyDescent="0.25">
      <c r="A364" s="27" t="s">
        <v>129</v>
      </c>
      <c r="B364" s="28" t="s">
        <v>359</v>
      </c>
    </row>
    <row r="365" spans="1:2" x14ac:dyDescent="0.25">
      <c r="A365" s="27" t="s">
        <v>119</v>
      </c>
      <c r="B365" s="28" t="s">
        <v>360</v>
      </c>
    </row>
    <row r="366" spans="1:2" x14ac:dyDescent="0.25">
      <c r="A366" s="27" t="s">
        <v>121</v>
      </c>
      <c r="B366" s="28" t="s">
        <v>91</v>
      </c>
    </row>
    <row r="367" spans="1:2" x14ac:dyDescent="0.25">
      <c r="A367" s="27" t="s">
        <v>122</v>
      </c>
      <c r="B367" s="26">
        <v>2.7</v>
      </c>
    </row>
    <row r="368" spans="1:2" x14ac:dyDescent="0.25">
      <c r="A368" s="27" t="s">
        <v>123</v>
      </c>
      <c r="B368" s="28" t="s">
        <v>348</v>
      </c>
    </row>
    <row r="369" spans="1:2" x14ac:dyDescent="0.25">
      <c r="A369" s="27" t="s">
        <v>125</v>
      </c>
      <c r="B369" s="28" t="s">
        <v>231</v>
      </c>
    </row>
    <row r="370" spans="1:2" x14ac:dyDescent="0.25">
      <c r="A370" s="27" t="s">
        <v>127</v>
      </c>
      <c r="B370" s="28" t="s">
        <v>361</v>
      </c>
    </row>
    <row r="371" spans="1:2" x14ac:dyDescent="0.25">
      <c r="A371" s="27" t="s">
        <v>129</v>
      </c>
      <c r="B371" s="28" t="s">
        <v>172</v>
      </c>
    </row>
    <row r="372" spans="1:2" x14ac:dyDescent="0.25">
      <c r="A372" s="27" t="s">
        <v>119</v>
      </c>
      <c r="B372" s="28" t="s">
        <v>362</v>
      </c>
    </row>
    <row r="373" spans="1:2" x14ac:dyDescent="0.25">
      <c r="A373" s="27" t="s">
        <v>121</v>
      </c>
      <c r="B373" s="28" t="s">
        <v>90</v>
      </c>
    </row>
    <row r="374" spans="1:2" x14ac:dyDescent="0.25">
      <c r="A374" s="27" t="s">
        <v>122</v>
      </c>
      <c r="B374" s="26">
        <v>2.7</v>
      </c>
    </row>
    <row r="375" spans="1:2" x14ac:dyDescent="0.25">
      <c r="A375" s="27" t="s">
        <v>123</v>
      </c>
      <c r="B375" s="28" t="s">
        <v>175</v>
      </c>
    </row>
    <row r="376" spans="1:2" x14ac:dyDescent="0.25">
      <c r="A376" s="27" t="s">
        <v>125</v>
      </c>
      <c r="B376" s="28" t="s">
        <v>176</v>
      </c>
    </row>
    <row r="377" spans="1:2" x14ac:dyDescent="0.25">
      <c r="A377" s="27" t="s">
        <v>127</v>
      </c>
      <c r="B377" s="28" t="s">
        <v>363</v>
      </c>
    </row>
    <row r="378" spans="1:2" x14ac:dyDescent="0.25">
      <c r="A378" s="27" t="s">
        <v>129</v>
      </c>
      <c r="B378" s="28" t="s">
        <v>364</v>
      </c>
    </row>
    <row r="379" spans="1:2" x14ac:dyDescent="0.25">
      <c r="A379" s="27" t="s">
        <v>119</v>
      </c>
      <c r="B379" s="28" t="s">
        <v>365</v>
      </c>
    </row>
    <row r="380" spans="1:2" x14ac:dyDescent="0.25">
      <c r="A380" s="27" t="s">
        <v>121</v>
      </c>
      <c r="B380" s="28" t="s">
        <v>159</v>
      </c>
    </row>
    <row r="381" spans="1:2" x14ac:dyDescent="0.25">
      <c r="A381" s="27" t="s">
        <v>122</v>
      </c>
      <c r="B381" s="26">
        <v>3.8</v>
      </c>
    </row>
    <row r="382" spans="1:2" x14ac:dyDescent="0.25">
      <c r="A382" s="27" t="s">
        <v>123</v>
      </c>
      <c r="B382" s="28" t="s">
        <v>366</v>
      </c>
    </row>
    <row r="383" spans="1:2" x14ac:dyDescent="0.25">
      <c r="A383" s="27" t="s">
        <v>125</v>
      </c>
      <c r="B383" s="28" t="s">
        <v>367</v>
      </c>
    </row>
    <row r="384" spans="1:2" x14ac:dyDescent="0.25">
      <c r="A384" s="27" t="s">
        <v>127</v>
      </c>
      <c r="B384" s="28" t="s">
        <v>368</v>
      </c>
    </row>
    <row r="385" spans="1:2" x14ac:dyDescent="0.25">
      <c r="A385" s="27" t="s">
        <v>129</v>
      </c>
      <c r="B385" s="28" t="s">
        <v>369</v>
      </c>
    </row>
    <row r="386" spans="1:2" x14ac:dyDescent="0.25">
      <c r="A386" s="27" t="s">
        <v>119</v>
      </c>
      <c r="B386" s="28" t="s">
        <v>370</v>
      </c>
    </row>
    <row r="387" spans="1:2" x14ac:dyDescent="0.25">
      <c r="A387" s="27" t="s">
        <v>121</v>
      </c>
      <c r="B387" s="28" t="s">
        <v>164</v>
      </c>
    </row>
    <row r="388" spans="1:2" x14ac:dyDescent="0.25">
      <c r="A388" s="27" t="s">
        <v>122</v>
      </c>
      <c r="B388" s="26">
        <v>2.6</v>
      </c>
    </row>
    <row r="389" spans="1:2" x14ac:dyDescent="0.25">
      <c r="A389" s="27" t="s">
        <v>123</v>
      </c>
      <c r="B389" s="28" t="s">
        <v>371</v>
      </c>
    </row>
    <row r="390" spans="1:2" x14ac:dyDescent="0.25">
      <c r="A390" s="27" t="s">
        <v>125</v>
      </c>
      <c r="B390" s="28" t="s">
        <v>226</v>
      </c>
    </row>
    <row r="391" spans="1:2" x14ac:dyDescent="0.25">
      <c r="A391" s="27" t="s">
        <v>127</v>
      </c>
      <c r="B391" s="28" t="s">
        <v>372</v>
      </c>
    </row>
    <row r="392" spans="1:2" x14ac:dyDescent="0.25">
      <c r="A392" s="27" t="s">
        <v>129</v>
      </c>
      <c r="B392" s="28" t="s">
        <v>373</v>
      </c>
    </row>
    <row r="393" spans="1:2" x14ac:dyDescent="0.25">
      <c r="A393" s="27" t="s">
        <v>119</v>
      </c>
      <c r="B393" s="28" t="s">
        <v>374</v>
      </c>
    </row>
    <row r="394" spans="1:2" x14ac:dyDescent="0.25">
      <c r="A394" s="27" t="s">
        <v>121</v>
      </c>
      <c r="B394" s="28" t="s">
        <v>89</v>
      </c>
    </row>
    <row r="395" spans="1:2" x14ac:dyDescent="0.25">
      <c r="A395" s="27" t="s">
        <v>122</v>
      </c>
      <c r="B395" s="26">
        <v>3.8</v>
      </c>
    </row>
    <row r="396" spans="1:2" x14ac:dyDescent="0.25">
      <c r="A396" s="27" t="s">
        <v>123</v>
      </c>
      <c r="B396" s="28" t="s">
        <v>375</v>
      </c>
    </row>
    <row r="397" spans="1:2" x14ac:dyDescent="0.25">
      <c r="A397" s="27" t="s">
        <v>125</v>
      </c>
      <c r="B397" s="28" t="s">
        <v>353</v>
      </c>
    </row>
    <row r="398" spans="1:2" x14ac:dyDescent="0.25">
      <c r="A398" s="27" t="s">
        <v>127</v>
      </c>
      <c r="B398" s="28" t="s">
        <v>376</v>
      </c>
    </row>
    <row r="399" spans="1:2" x14ac:dyDescent="0.25">
      <c r="A399" s="27" t="s">
        <v>129</v>
      </c>
      <c r="B399" s="28" t="s">
        <v>286</v>
      </c>
    </row>
    <row r="400" spans="1:2" x14ac:dyDescent="0.25">
      <c r="A400" s="27" t="s">
        <v>119</v>
      </c>
      <c r="B400" s="28" t="s">
        <v>377</v>
      </c>
    </row>
    <row r="401" spans="1:2" x14ac:dyDescent="0.25">
      <c r="A401" s="27" t="s">
        <v>121</v>
      </c>
      <c r="B401" s="28" t="s">
        <v>174</v>
      </c>
    </row>
    <row r="402" spans="1:2" x14ac:dyDescent="0.25">
      <c r="A402" s="27" t="s">
        <v>122</v>
      </c>
      <c r="B402" s="26">
        <v>3.9</v>
      </c>
    </row>
    <row r="403" spans="1:2" x14ac:dyDescent="0.25">
      <c r="A403" s="27" t="s">
        <v>123</v>
      </c>
      <c r="B403" s="28" t="s">
        <v>378</v>
      </c>
    </row>
    <row r="404" spans="1:2" x14ac:dyDescent="0.25">
      <c r="A404" s="27" t="s">
        <v>125</v>
      </c>
      <c r="B404" s="28" t="s">
        <v>155</v>
      </c>
    </row>
    <row r="405" spans="1:2" x14ac:dyDescent="0.25">
      <c r="A405" s="27" t="s">
        <v>127</v>
      </c>
      <c r="B405" s="28" t="s">
        <v>379</v>
      </c>
    </row>
    <row r="406" spans="1:2" x14ac:dyDescent="0.25">
      <c r="A406" s="27" t="s">
        <v>129</v>
      </c>
      <c r="B406" s="28" t="s">
        <v>380</v>
      </c>
    </row>
    <row r="407" spans="1:2" x14ac:dyDescent="0.25">
      <c r="A407" s="26"/>
    </row>
    <row r="408" spans="1:2" x14ac:dyDescent="0.25">
      <c r="A408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Student Scholarships</vt:lpstr>
      <vt:lpstr>Student Copy</vt:lpstr>
      <vt:lpstr>Scholarship Request Form</vt:lpstr>
      <vt:lpstr>Form Background</vt:lpstr>
      <vt:lpstr>Scholarship Request List</vt:lpstr>
      <vt:lpstr>Student List Table</vt:lpstr>
      <vt:lpstr>Student List Original</vt:lpstr>
      <vt:lpstr>Scholarships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Koby Manning</dc:creator>
  <cp:lastModifiedBy>Koby Manning</cp:lastModifiedBy>
  <dcterms:created xsi:type="dcterms:W3CDTF">2023-04-16T02:30:00Z</dcterms:created>
  <dcterms:modified xsi:type="dcterms:W3CDTF">2024-05-08T03:10:54Z</dcterms:modified>
</cp:coreProperties>
</file>