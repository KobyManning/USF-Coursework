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d84b6468bc0858/Documents/USF Coursework/ISM 4547 Excel Data Modeling and Business Analytics/Week 11 EE/"/>
    </mc:Choice>
  </mc:AlternateContent>
  <xr:revisionPtr revIDLastSave="0" documentId="13_ncr:1_{DDD92569-94C5-44DD-B867-460EE6FAD416}" xr6:coauthVersionLast="47" xr6:coauthVersionMax="47" xr10:uidLastSave="{00000000-0000-0000-0000-000000000000}"/>
  <bookViews>
    <workbookView xWindow="1185" yWindow="120" windowWidth="22980" windowHeight="16080" xr2:uid="{00000000-000D-0000-FFFF-FFFF00000000}"/>
  </bookViews>
  <sheets>
    <sheet name="Bonus" sheetId="1" r:id="rId1"/>
    <sheet name="AbsRel" sheetId="4" r:id="rId2"/>
    <sheet name="EE Macros" sheetId="5" r:id="rId3"/>
    <sheet name="AQI Data" sheetId="3" r:id="rId4"/>
  </sheets>
  <definedNames>
    <definedName name="Z_32B844FF_781B_4C68_B36E_1D0FD0AC500E_.wvu.Cols" localSheetId="3" hidden="1">'AQI Data'!$D:$J</definedName>
    <definedName name="Z_A4CA7F67_F911_4693_95F3_A71028D27F30_.wvu.Cols" localSheetId="3" hidden="1">'AQI Data'!$K:$S</definedName>
  </definedNames>
  <calcPr calcId="191029"/>
  <customWorkbookViews>
    <customWorkbookView name="First 7" guid="{A4CA7F67-F911-4693-95F3-A71028D27F30}" maximized="1" xWindow="-8" yWindow="-8" windowWidth="1936" windowHeight="1096" activeSheetId="3"/>
    <customWorkbookView name="Last 9" guid="{32B844FF-781B-4C68-B36E-1D0FD0AC500E}" maximized="1" xWindow="-8" yWindow="-8" windowWidth="1936" windowHeight="1096" activeSheetId="3"/>
    <customWorkbookView name="All Columns" guid="{0E180716-8FAC-4A01-B8D4-84509AFAC9BC}" maximized="1" xWindow="-8" yWindow="-8" windowWidth="1936" windowHeight="1096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" l="1"/>
  <c r="E8" i="5" a="1"/>
  <c r="E4" i="5" a="1"/>
  <c r="D4" i="5" a="1"/>
  <c r="E7" i="5" a="1"/>
  <c r="E12" i="5" a="1"/>
  <c r="E11" i="5" a="1"/>
  <c r="D12" i="5" a="1"/>
  <c r="D8" i="5" a="1"/>
  <c r="E3" i="5" a="1"/>
  <c r="D11" i="5" a="1"/>
  <c r="D7" i="5" a="1"/>
  <c r="D3" i="5" a="1"/>
  <c r="E10" i="5" a="1"/>
  <c r="E2" i="5" a="1"/>
  <c r="D6" i="5" a="1"/>
  <c r="E5" i="5" a="1"/>
  <c r="D9" i="5" a="1"/>
  <c r="E6" i="5" a="1"/>
  <c r="D2" i="5" a="1"/>
  <c r="E9" i="5" a="1"/>
  <c r="D5" i="5" a="1"/>
  <c r="D10" i="5" a="1"/>
  <c r="D13" i="4" a="1"/>
  <c r="E10" i="4" a="1"/>
  <c r="D5" i="4" a="1"/>
  <c r="D15" i="4" a="1"/>
  <c r="D7" i="4" a="1"/>
  <c r="E6" i="4" a="1"/>
  <c r="D14" i="4" a="1"/>
  <c r="E8" i="4" a="1"/>
  <c r="E5" i="4" a="1"/>
  <c r="F15" i="4" a="1"/>
  <c r="F7" i="4" a="1"/>
  <c r="E12" i="4" a="1"/>
  <c r="D12" i="4" a="1"/>
  <c r="F5" i="4" a="1"/>
  <c r="F10" i="4" a="1"/>
  <c r="E15" i="4" a="1"/>
  <c r="F12" i="4" a="1"/>
  <c r="D10" i="4" a="1"/>
  <c r="E7" i="4" a="1"/>
  <c r="F9" i="4" a="1"/>
  <c r="E9" i="4" a="1"/>
  <c r="E11" i="4" a="1"/>
  <c r="F13" i="4" a="1"/>
  <c r="E13" i="4" a="1"/>
  <c r="D9" i="4" a="1"/>
  <c r="F6" i="4" a="1"/>
  <c r="F14" i="4" a="1"/>
  <c r="F8" i="4" a="1"/>
  <c r="D11" i="4" a="1"/>
  <c r="D8" i="4" a="1"/>
  <c r="F11" i="4" a="1"/>
  <c r="E14" i="4" a="1"/>
  <c r="D6" i="4" a="1"/>
  <c r="F5" i="1" a="1"/>
  <c r="F13" i="1" a="1"/>
  <c r="F10" i="1" a="1"/>
  <c r="F6" i="1" a="1"/>
  <c r="F14" i="1" a="1"/>
  <c r="F7" i="1" a="1"/>
  <c r="F9" i="1" a="1"/>
  <c r="D5" i="1" a="1"/>
  <c r="D13" i="1" a="1"/>
  <c r="D12" i="1" a="1"/>
  <c r="D6" i="1" a="1"/>
  <c r="D10" i="1" a="1"/>
  <c r="D8" i="1" a="1"/>
  <c r="D4" i="1" a="1"/>
  <c r="E12" i="1" a="1"/>
  <c r="E8" i="1" a="1"/>
  <c r="E4" i="1" a="1"/>
  <c r="F11" i="1" a="1"/>
  <c r="F12" i="1" a="1"/>
  <c r="F8" i="1" a="1"/>
  <c r="D14" i="1" a="1"/>
  <c r="D7" i="1" a="1"/>
  <c r="D9" i="1" a="1"/>
  <c r="D11" i="1" a="1"/>
  <c r="E11" i="1" a="1"/>
  <c r="E7" i="1" a="1"/>
  <c r="E10" i="1" a="1"/>
  <c r="F4" i="1" a="1"/>
  <c r="E5" i="1" a="1"/>
  <c r="E13" i="1" a="1"/>
  <c r="E6" i="1" a="1"/>
  <c r="E14" i="1" a="1"/>
  <c r="E9" i="1" a="1"/>
  <c r="D10" i="5" l="1"/>
  <c r="D5" i="5"/>
  <c r="E9" i="5"/>
  <c r="D2" i="5"/>
  <c r="E6" i="5"/>
  <c r="D9" i="5"/>
  <c r="E5" i="5"/>
  <c r="D6" i="5"/>
  <c r="E2" i="5"/>
  <c r="E10" i="5"/>
  <c r="D3" i="5"/>
  <c r="D7" i="5"/>
  <c r="D11" i="5"/>
  <c r="E3" i="5"/>
  <c r="D8" i="5"/>
  <c r="D12" i="5"/>
  <c r="E11" i="5"/>
  <c r="E12" i="5"/>
  <c r="E7" i="5"/>
  <c r="D4" i="5"/>
  <c r="E4" i="5"/>
  <c r="E8" i="5"/>
  <c r="D6" i="4"/>
  <c r="E14" i="4"/>
  <c r="F11" i="4"/>
  <c r="D8" i="4"/>
  <c r="D11" i="4"/>
  <c r="F8" i="4"/>
  <c r="F14" i="4"/>
  <c r="F6" i="4"/>
  <c r="D9" i="4"/>
  <c r="E13" i="4"/>
  <c r="F13" i="4"/>
  <c r="E11" i="4"/>
  <c r="E9" i="4"/>
  <c r="F9" i="4"/>
  <c r="E7" i="4"/>
  <c r="D10" i="4"/>
  <c r="F12" i="4"/>
  <c r="E15" i="4"/>
  <c r="F10" i="4"/>
  <c r="F5" i="4"/>
  <c r="D12" i="4"/>
  <c r="E12" i="4"/>
  <c r="F7" i="4"/>
  <c r="F15" i="4"/>
  <c r="E5" i="4"/>
  <c r="E8" i="4"/>
  <c r="D14" i="4"/>
  <c r="E6" i="4"/>
  <c r="D7" i="4"/>
  <c r="D15" i="4"/>
  <c r="D5" i="4"/>
  <c r="E10" i="4"/>
  <c r="D13" i="4"/>
  <c r="E9" i="1"/>
  <c r="E14" i="1"/>
  <c r="E6" i="1"/>
  <c r="E13" i="1"/>
  <c r="E5" i="1"/>
  <c r="F4" i="1"/>
  <c r="E10" i="1"/>
  <c r="E7" i="1"/>
  <c r="E11" i="1"/>
  <c r="D11" i="1"/>
  <c r="D9" i="1"/>
  <c r="D7" i="1"/>
  <c r="D14" i="1"/>
  <c r="F8" i="1"/>
  <c r="F12" i="1"/>
  <c r="F11" i="1"/>
  <c r="E4" i="1"/>
  <c r="E8" i="1"/>
  <c r="E12" i="1"/>
  <c r="D4" i="1"/>
  <c r="D8" i="1"/>
  <c r="D10" i="1"/>
  <c r="D6" i="1"/>
  <c r="D12" i="1"/>
  <c r="D13" i="1"/>
  <c r="D5" i="1"/>
  <c r="F9" i="1"/>
  <c r="F7" i="1"/>
  <c r="F14" i="1"/>
  <c r="F6" i="1"/>
  <c r="F10" i="1"/>
  <c r="F13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<sst xmlns="http://schemas.openxmlformats.org/spreadsheetml/2006/main" count="194" uniqueCount="78">
  <si>
    <t>Employee #</t>
  </si>
  <si>
    <t>Sales</t>
  </si>
  <si>
    <t>Bonus</t>
  </si>
  <si>
    <t>Years</t>
  </si>
  <si>
    <t>Bonus Years</t>
  </si>
  <si>
    <t>States by Year</t>
  </si>
  <si>
    <t>Year</t>
  </si>
  <si>
    <t>Days with AQI</t>
  </si>
  <si>
    <t>Good Days</t>
  </si>
  <si>
    <t>Moderate Days</t>
  </si>
  <si>
    <t>Unhealthy for Sensitive Groups Days</t>
  </si>
  <si>
    <t>Unhealthy Days</t>
  </si>
  <si>
    <t>Very Unhealthy Days</t>
  </si>
  <si>
    <t>Hazardous Days</t>
  </si>
  <si>
    <t>Max AQI</t>
  </si>
  <si>
    <t>90th Percentile AQI</t>
  </si>
  <si>
    <t>Median AQI</t>
  </si>
  <si>
    <t>Days CO</t>
  </si>
  <si>
    <t>Days NO2</t>
  </si>
  <si>
    <t>Days Ozone</t>
  </si>
  <si>
    <t>Days SO2</t>
  </si>
  <si>
    <t>Days PM2.5</t>
  </si>
  <si>
    <t>Days PM10</t>
  </si>
  <si>
    <t>Alabama</t>
  </si>
  <si>
    <t>Alaska</t>
  </si>
  <si>
    <t>Arizona</t>
  </si>
  <si>
    <t>Arkansas</t>
  </si>
  <si>
    <t>California</t>
  </si>
  <si>
    <t>Canada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</si>
  <si>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</si>
  <si>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</si>
  <si>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</si>
  <si>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</si>
  <si>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</si>
  <si>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</si>
  <si>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</si>
  <si>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</si>
  <si>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</si>
  <si>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</si>
  <si>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</si>
  <si>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</si>
  <si>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</si>
  <si>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</si>
  <si>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</si>
  <si>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</si>
  <si>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</si>
  <si>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</si>
  <si>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</si>
  <si>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</si>
  <si>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</si>
  <si>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</si>
  <si>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</si>
  <si>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</si>
  <si>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</si>
  <si>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</si>
  <si>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</si>
  <si>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</si>
  <si>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</si>
  <si>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</si>
  <si>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</si>
  <si>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</si>
  <si>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</si>
  <si>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</si>
  <si>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</si>
  <si>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</si>
  <si>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</si>
  <si>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</si>
  <si>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</si>
  <si>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</si>
  <si>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</si>
  <si>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</si>
  <si>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</si>
  <si>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</si>
  <si>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</si>
  <si>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</si>
  <si>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</si>
  <si>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Bonus Percent</t>
  </si>
  <si>
    <t>Koby Manning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</si>
</sst>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/d/yy;@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6F8F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0" xfId="0" applyFont="1"/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3" borderId="0" xfId="0" applyFont="1" applyFill="1" applyAlignment="1">
      <alignment horizontal="left" vertical="center"/>
    </xf>
    <xf numFmtId="10" fontId="0" fillId="0" borderId="0" xfId="0" applyNumberFormat="1"/>
    <xf numFmtId="165" fontId="0" fillId="0" borderId="0" xfId="0" applyNumberFormat="1"/>
    <xf numFmtId="0" fontId="3" fillId="0" borderId="0" xfId="0" applyFont="1"/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2</xdr:row>
      <xdr:rowOff>9525</xdr:rowOff>
    </xdr:from>
    <xdr:to>
      <xdr:col>15</xdr:col>
      <xdr:colOff>0</xdr:colOff>
      <xdr:row>4</xdr:row>
      <xdr:rowOff>161925</xdr:rowOff>
    </xdr:to>
    <xdr:sp macro="[0]!Quick_Name" textlink="">
      <xdr:nvSpPr>
        <xdr:cNvPr id="2" name="Flowchart: Decision 1">
          <a:extLst>
            <a:ext uri="{FF2B5EF4-FFF2-40B4-BE49-F238E27FC236}">
              <a16:creationId xmlns:a16="http://schemas.microsoft.com/office/drawing/2014/main" id="{523CD945-5367-70F0-5823-CA9F58E4F3A5}"/>
            </a:ext>
          </a:extLst>
        </xdr:cNvPr>
        <xdr:cNvSpPr/>
      </xdr:nvSpPr>
      <xdr:spPr>
        <a:xfrm>
          <a:off x="8848724" y="771525"/>
          <a:ext cx="1857376" cy="533400"/>
        </a:xfrm>
        <a:prstGeom prst="flowChartDecision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QuickName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2</xdr:row>
      <xdr:rowOff>0</xdr:rowOff>
    </xdr:from>
    <xdr:to>
      <xdr:col>12</xdr:col>
      <xdr:colOff>590550</xdr:colOff>
      <xdr:row>8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60CA65E-7602-3E6B-7050-03D509781C24}"/>
            </a:ext>
          </a:extLst>
        </xdr:cNvPr>
        <xdr:cNvSpPr txBox="1"/>
      </xdr:nvSpPr>
      <xdr:spPr>
        <a:xfrm>
          <a:off x="7381875" y="190500"/>
          <a:ext cx="2400300" cy="1152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ctrl-shift-t</a:t>
          </a:r>
          <a:r>
            <a:rPr lang="en-US" sz="1100" baseline="0"/>
            <a:t> places the date 4 rows above the current row, in the a column (does not work in rows 1-4)</a:t>
          </a:r>
        </a:p>
        <a:p>
          <a:endParaRPr lang="en-US" sz="1100" baseline="0"/>
        </a:p>
        <a:p>
          <a:r>
            <a:rPr lang="en-US" sz="1100" baseline="0"/>
            <a:t>ctrl-shift-d always puts the date in a2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100012</xdr:colOff>
      <xdr:row>6</xdr:row>
      <xdr:rowOff>40480</xdr:rowOff>
    </xdr:from>
    <xdr:to>
      <xdr:col>7</xdr:col>
      <xdr:colOff>435292</xdr:colOff>
      <xdr:row>7</xdr:row>
      <xdr:rowOff>188308</xdr:rowOff>
    </xdr:to>
    <xdr:sp macro="[0]!Strike_Relativ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8A7CBA3-24FB-6897-B3BB-FECECA8F8857}"/>
            </a:ext>
          </a:extLst>
        </xdr:cNvPr>
        <xdr:cNvSpPr/>
      </xdr:nvSpPr>
      <xdr:spPr>
        <a:xfrm>
          <a:off x="4710112" y="1183480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3 - Strike Relative</a:t>
          </a:r>
        </a:p>
      </xdr:txBody>
    </xdr:sp>
    <xdr:clientData/>
  </xdr:twoCellAnchor>
  <xdr:twoCellAnchor>
    <xdr:from>
      <xdr:col>5</xdr:col>
      <xdr:colOff>100012</xdr:colOff>
      <xdr:row>9</xdr:row>
      <xdr:rowOff>36908</xdr:rowOff>
    </xdr:from>
    <xdr:to>
      <xdr:col>7</xdr:col>
      <xdr:colOff>435292</xdr:colOff>
      <xdr:row>10</xdr:row>
      <xdr:rowOff>184736</xdr:rowOff>
    </xdr:to>
    <xdr:sp macro="[0]!To_Accoun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86638F-718B-4AB5-94EF-A23D5D18E75E}"/>
            </a:ext>
          </a:extLst>
        </xdr:cNvPr>
        <xdr:cNvSpPr/>
      </xdr:nvSpPr>
      <xdr:spPr>
        <a:xfrm>
          <a:off x="4710112" y="1751408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4 - To Accounting</a:t>
          </a:r>
        </a:p>
      </xdr:txBody>
    </xdr:sp>
    <xdr:clientData/>
  </xdr:twoCellAnchor>
  <xdr:twoCellAnchor>
    <xdr:from>
      <xdr:col>5</xdr:col>
      <xdr:colOff>100012</xdr:colOff>
      <xdr:row>12</xdr:row>
      <xdr:rowOff>33336</xdr:rowOff>
    </xdr:from>
    <xdr:to>
      <xdr:col>7</xdr:col>
      <xdr:colOff>435292</xdr:colOff>
      <xdr:row>13</xdr:row>
      <xdr:rowOff>181164</xdr:rowOff>
    </xdr:to>
    <xdr:sp macro="[0]!Formula_Fi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C8A6BEC-AFDC-4D94-A235-D2CD2119B02F}"/>
            </a:ext>
          </a:extLst>
        </xdr:cNvPr>
        <xdr:cNvSpPr/>
      </xdr:nvSpPr>
      <xdr:spPr>
        <a:xfrm>
          <a:off x="4710112" y="2319336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5 - Formula</a:t>
          </a:r>
          <a:r>
            <a:rPr lang="en-US" sz="1100" baseline="0"/>
            <a:t> Fill</a:t>
          </a:r>
          <a:endParaRPr lang="en-US" sz="1100"/>
        </a:p>
      </xdr:txBody>
    </xdr:sp>
    <xdr:clientData/>
  </xdr:twoCellAnchor>
  <xdr:twoCellAnchor>
    <xdr:from>
      <xdr:col>5</xdr:col>
      <xdr:colOff>100012</xdr:colOff>
      <xdr:row>15</xdr:row>
      <xdr:rowOff>29764</xdr:rowOff>
    </xdr:from>
    <xdr:to>
      <xdr:col>7</xdr:col>
      <xdr:colOff>435292</xdr:colOff>
      <xdr:row>16</xdr:row>
      <xdr:rowOff>177592</xdr:rowOff>
    </xdr:to>
    <xdr:sp macro="[0]!Sort_Ascending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1724028-BD08-4811-B181-A8F33AD256D4}"/>
            </a:ext>
          </a:extLst>
        </xdr:cNvPr>
        <xdr:cNvSpPr/>
      </xdr:nvSpPr>
      <xdr:spPr>
        <a:xfrm>
          <a:off x="4710112" y="2887264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6 - Sort Ascending</a:t>
          </a:r>
        </a:p>
      </xdr:txBody>
    </xdr:sp>
    <xdr:clientData/>
  </xdr:twoCellAnchor>
  <xdr:twoCellAnchor>
    <xdr:from>
      <xdr:col>5</xdr:col>
      <xdr:colOff>100012</xdr:colOff>
      <xdr:row>18</xdr:row>
      <xdr:rowOff>26192</xdr:rowOff>
    </xdr:from>
    <xdr:to>
      <xdr:col>7</xdr:col>
      <xdr:colOff>435292</xdr:colOff>
      <xdr:row>19</xdr:row>
      <xdr:rowOff>174020</xdr:rowOff>
    </xdr:to>
    <xdr:sp macro="[0]!Sort_Descending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704D700-91AA-47D3-A5DC-B302DD4AC82F}"/>
            </a:ext>
          </a:extLst>
        </xdr:cNvPr>
        <xdr:cNvSpPr/>
      </xdr:nvSpPr>
      <xdr:spPr>
        <a:xfrm>
          <a:off x="4710112" y="3455192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7</a:t>
          </a:r>
          <a:r>
            <a:rPr lang="en-US" sz="1100" baseline="0"/>
            <a:t> - Sort Descending</a:t>
          </a:r>
          <a:endParaRPr lang="en-US" sz="1100"/>
        </a:p>
      </xdr:txBody>
    </xdr:sp>
    <xdr:clientData/>
  </xdr:twoCellAnchor>
  <xdr:twoCellAnchor>
    <xdr:from>
      <xdr:col>5</xdr:col>
      <xdr:colOff>100012</xdr:colOff>
      <xdr:row>21</xdr:row>
      <xdr:rowOff>22620</xdr:rowOff>
    </xdr:from>
    <xdr:to>
      <xdr:col>7</xdr:col>
      <xdr:colOff>435292</xdr:colOff>
      <xdr:row>22</xdr:row>
      <xdr:rowOff>170448</xdr:rowOff>
    </xdr:to>
    <xdr:sp macro="[0]!The_End_Method_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DFBAEF4-85CD-4EBA-9365-82ABEC2C3913}"/>
            </a:ext>
          </a:extLst>
        </xdr:cNvPr>
        <xdr:cNvSpPr/>
      </xdr:nvSpPr>
      <xdr:spPr>
        <a:xfrm>
          <a:off x="4710112" y="4023120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8 -</a:t>
          </a:r>
          <a:r>
            <a:rPr lang="en-US" sz="1100" baseline="0"/>
            <a:t> The End - Method 1</a:t>
          </a:r>
          <a:endParaRPr lang="en-US" sz="1100"/>
        </a:p>
      </xdr:txBody>
    </xdr:sp>
    <xdr:clientData/>
  </xdr:twoCellAnchor>
  <xdr:twoCellAnchor>
    <xdr:from>
      <xdr:col>5</xdr:col>
      <xdr:colOff>100012</xdr:colOff>
      <xdr:row>24</xdr:row>
      <xdr:rowOff>19049</xdr:rowOff>
    </xdr:from>
    <xdr:to>
      <xdr:col>7</xdr:col>
      <xdr:colOff>435292</xdr:colOff>
      <xdr:row>25</xdr:row>
      <xdr:rowOff>166877</xdr:rowOff>
    </xdr:to>
    <xdr:sp macro="[0]!The_End_Method_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862D95C-39E6-4979-A475-E15A32677B27}"/>
            </a:ext>
          </a:extLst>
        </xdr:cNvPr>
        <xdr:cNvSpPr/>
      </xdr:nvSpPr>
      <xdr:spPr>
        <a:xfrm>
          <a:off x="4710112" y="4591049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9 - The End</a:t>
          </a:r>
          <a:r>
            <a:rPr lang="en-US" sz="1100" baseline="0"/>
            <a:t> - Method 2</a:t>
          </a:r>
          <a:endParaRPr lang="en-US" sz="1100"/>
        </a:p>
      </xdr:txBody>
    </xdr:sp>
    <xdr:clientData/>
  </xdr:twoCellAnchor>
  <xdr:twoCellAnchor>
    <xdr:from>
      <xdr:col>5</xdr:col>
      <xdr:colOff>100012</xdr:colOff>
      <xdr:row>0</xdr:row>
      <xdr:rowOff>47624</xdr:rowOff>
    </xdr:from>
    <xdr:to>
      <xdr:col>7</xdr:col>
      <xdr:colOff>435292</xdr:colOff>
      <xdr:row>2</xdr:row>
      <xdr:rowOff>4952</xdr:rowOff>
    </xdr:to>
    <xdr:sp macro="[0]!Font_Absolu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6FD81AB-7168-4DFB-B46D-ADA9076C226D}"/>
            </a:ext>
          </a:extLst>
        </xdr:cNvPr>
        <xdr:cNvSpPr/>
      </xdr:nvSpPr>
      <xdr:spPr>
        <a:xfrm>
          <a:off x="4710112" y="47624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1 - Font Absolute</a:t>
          </a:r>
        </a:p>
      </xdr:txBody>
    </xdr:sp>
    <xdr:clientData/>
  </xdr:twoCellAnchor>
  <xdr:twoCellAnchor>
    <xdr:from>
      <xdr:col>5</xdr:col>
      <xdr:colOff>100012</xdr:colOff>
      <xdr:row>3</xdr:row>
      <xdr:rowOff>44052</xdr:rowOff>
    </xdr:from>
    <xdr:to>
      <xdr:col>7</xdr:col>
      <xdr:colOff>435292</xdr:colOff>
      <xdr:row>5</xdr:row>
      <xdr:rowOff>1380</xdr:rowOff>
    </xdr:to>
    <xdr:sp macro="[0]!Font_Relativ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804D22A-5B5F-4D14-A75B-62438A03CE00}"/>
            </a:ext>
          </a:extLst>
        </xdr:cNvPr>
        <xdr:cNvSpPr/>
      </xdr:nvSpPr>
      <xdr:spPr>
        <a:xfrm>
          <a:off x="4710112" y="615552"/>
          <a:ext cx="1554480" cy="33832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2 - Font Relative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0</xdr:colOff>
      <xdr:row>3</xdr:row>
      <xdr:rowOff>0</xdr:rowOff>
    </xdr:to>
    <xdr:sp macro="[0]!View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87E425-9B39-70A0-D8E4-F077D32F4614}"/>
            </a:ext>
          </a:extLst>
        </xdr:cNvPr>
        <xdr:cNvSpPr/>
      </xdr:nvSpPr>
      <xdr:spPr>
        <a:xfrm>
          <a:off x="0" y="962025"/>
          <a:ext cx="143827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View 1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6</xdr:row>
      <xdr:rowOff>0</xdr:rowOff>
    </xdr:to>
    <xdr:sp macro="[0]!View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BE18BB1-5D93-4487-A104-FE05DACAF869}"/>
            </a:ext>
          </a:extLst>
        </xdr:cNvPr>
        <xdr:cNvSpPr/>
      </xdr:nvSpPr>
      <xdr:spPr>
        <a:xfrm>
          <a:off x="0" y="1562100"/>
          <a:ext cx="143827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View 2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9</xdr:row>
      <xdr:rowOff>0</xdr:rowOff>
    </xdr:to>
    <xdr:sp macro="[0]!View_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A8870-CBBF-4237-AD38-31311EFDF3EB}"/>
            </a:ext>
          </a:extLst>
        </xdr:cNvPr>
        <xdr:cNvSpPr/>
      </xdr:nvSpPr>
      <xdr:spPr>
        <a:xfrm>
          <a:off x="0" y="2162175"/>
          <a:ext cx="1438275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View 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4"/>
  <sheetViews>
    <sheetView tabSelected="1" workbookViewId="0"/>
  </sheetViews>
  <sheetFormatPr defaultRowHeight="15" x14ac:dyDescent="0.25"/>
  <cols>
    <col min="1" max="1" width="13.7109375" bestFit="1" customWidth="1"/>
    <col min="2" max="3" width="12.85546875" customWidth="1"/>
    <col min="4" max="5" width="14.85546875" customWidth="1"/>
    <col min="6" max="6" width="13.85546875" bestFit="1" customWidth="1"/>
  </cols>
  <sheetData>
    <row r="1" spans="1:7" x14ac:dyDescent="0.25">
      <c r="A1" t="s">
        <v>77</v>
      </c>
    </row>
    <row r="3" spans="1:7" x14ac:dyDescent="0.25">
      <c r="A3" t="s">
        <v>0</v>
      </c>
      <c r="B3" t="s">
        <v>1</v>
      </c>
      <c r="C3" t="s">
        <v>3</v>
      </c>
      <c r="D3" t="s">
        <v>2</v>
      </c>
      <c r="E3" t="s">
        <v>4</v>
      </c>
      <c r="F3" t="s">
        <v>76</v>
      </c>
      <c r="G3" s="18">
        <v>2E-3</v>
      </c>
    </row>
    <row r="4" spans="1:7" x14ac:dyDescent="0.25">
      <c r="A4">
        <v>200</v>
      </c>
      <c r="B4" s="2">
        <v>56939</v>
      </c>
      <c r="C4">
        <v>10.5</v>
      </c>
      <c r="D4" s="2" cm="1">
        <f t="array" ref="D4">bonus(B4)</f>
        <v>8540.85</v>
      </c>
      <c r="E4" s="2" cm="1">
        <f t="array" ref="E4">BonusYears(B4,C4)</f>
        <v>3587.1570000000002</v>
      </c>
      <c r="F4" s="2" cm="1">
        <f t="array" ref="F4">BonusPct(B4,C4,$G$3)</f>
        <v>1195.7190000000001</v>
      </c>
    </row>
    <row r="5" spans="1:7" x14ac:dyDescent="0.25">
      <c r="A5">
        <v>269</v>
      </c>
      <c r="B5" s="2">
        <v>45909</v>
      </c>
      <c r="C5">
        <v>17.399999999999999</v>
      </c>
      <c r="D5" s="2" cm="1">
        <f t="array" ref="D5">bonus(B5)</f>
        <v>6886.3499999999995</v>
      </c>
      <c r="E5" s="2" cm="1">
        <f t="array" ref="E5">BonusYears(B5,C5)</f>
        <v>4792.8995999999997</v>
      </c>
      <c r="F5" s="2" cm="1">
        <f t="array" ref="F5">BonusPct(B5,C5,$G$3)</f>
        <v>1597.6332</v>
      </c>
    </row>
    <row r="6" spans="1:7" x14ac:dyDescent="0.25">
      <c r="A6">
        <v>618</v>
      </c>
      <c r="B6" s="2">
        <v>59932</v>
      </c>
      <c r="C6">
        <v>5</v>
      </c>
      <c r="D6" s="2" cm="1">
        <f t="array" ref="D6">bonus(B6)</f>
        <v>8989.7999999999993</v>
      </c>
      <c r="E6" s="2" cm="1">
        <f t="array" ref="E6">BonusYears(B6,C6)</f>
        <v>1797.96</v>
      </c>
      <c r="F6" s="2" cm="1">
        <f t="array" ref="F6">BonusPct(B6,C6,$G$3)</f>
        <v>599.32000000000005</v>
      </c>
    </row>
    <row r="7" spans="1:7" x14ac:dyDescent="0.25">
      <c r="A7">
        <v>193</v>
      </c>
      <c r="B7" s="2">
        <v>34047</v>
      </c>
      <c r="C7">
        <v>5.9</v>
      </c>
      <c r="D7" s="2" cm="1">
        <f t="array" ref="D7">bonus(B7)</f>
        <v>5107.05</v>
      </c>
      <c r="E7" s="2" cm="1">
        <f t="array" ref="E7">BonusYears(B7,C7)</f>
        <v>1205.2638000000002</v>
      </c>
      <c r="F7" s="2" cm="1">
        <f t="array" ref="F7">BonusPct(B7,C7,$G$3)</f>
        <v>401.75460000000004</v>
      </c>
    </row>
    <row r="8" spans="1:7" x14ac:dyDescent="0.25">
      <c r="A8">
        <v>598</v>
      </c>
      <c r="B8" s="2">
        <v>49993</v>
      </c>
      <c r="C8">
        <v>3</v>
      </c>
      <c r="D8" s="2" cm="1">
        <f t="array" ref="D8">bonus(B8)</f>
        <v>7498.95</v>
      </c>
      <c r="E8" s="2" cm="1">
        <f t="array" ref="E8">BonusYears(B8,C8)</f>
        <v>899.87400000000002</v>
      </c>
      <c r="F8" s="2" cm="1">
        <f t="array" ref="F8">BonusPct(B8,C8,$G$3)</f>
        <v>299.95800000000003</v>
      </c>
    </row>
    <row r="9" spans="1:7" x14ac:dyDescent="0.25">
      <c r="A9">
        <v>349</v>
      </c>
      <c r="B9" s="2">
        <v>50099</v>
      </c>
      <c r="C9">
        <v>10.3</v>
      </c>
      <c r="D9" s="2" cm="1">
        <f t="array" ref="D9">bonus(B9)</f>
        <v>7514.8499999999995</v>
      </c>
      <c r="E9" s="2" cm="1">
        <f t="array" ref="E9">BonusYears(B9,C9)</f>
        <v>3096.1182000000003</v>
      </c>
      <c r="F9" s="2" cm="1">
        <f t="array" ref="F9">BonusPct(B9,C9,$G$3)</f>
        <v>1032.0394000000001</v>
      </c>
    </row>
    <row r="10" spans="1:7" x14ac:dyDescent="0.25">
      <c r="A10">
        <v>388</v>
      </c>
      <c r="B10" s="2">
        <v>30923</v>
      </c>
      <c r="C10">
        <v>18</v>
      </c>
      <c r="D10" s="2" cm="1">
        <f t="array" ref="D10">bonus(B10)</f>
        <v>4638.45</v>
      </c>
      <c r="E10" s="2" cm="1">
        <f t="array" ref="E10">BonusYears(B10,C10)</f>
        <v>3339.6840000000002</v>
      </c>
      <c r="F10" s="2" cm="1">
        <f t="array" ref="F10">BonusPct(B10,C10,$G$3)</f>
        <v>1113.2280000000001</v>
      </c>
    </row>
    <row r="11" spans="1:7" x14ac:dyDescent="0.25">
      <c r="A11">
        <v>349</v>
      </c>
      <c r="B11" s="2">
        <v>36175</v>
      </c>
      <c r="C11">
        <v>19.100000000000001</v>
      </c>
      <c r="D11" s="2" cm="1">
        <f t="array" ref="D11">bonus(B11)</f>
        <v>5426.25</v>
      </c>
      <c r="E11" s="2" cm="1">
        <f t="array" ref="E11">BonusYears(B11,C11)</f>
        <v>4145.6550000000007</v>
      </c>
      <c r="F11" s="2" cm="1">
        <f t="array" ref="F11">BonusPct(B11,C11,$G$3)</f>
        <v>1381.8850000000002</v>
      </c>
    </row>
    <row r="12" spans="1:7" x14ac:dyDescent="0.25">
      <c r="A12">
        <v>914</v>
      </c>
      <c r="B12" s="2">
        <v>50664</v>
      </c>
      <c r="C12">
        <v>3.3</v>
      </c>
      <c r="D12" s="2" cm="1">
        <f t="array" ref="D12">bonus(B12)</f>
        <v>7599.5999999999995</v>
      </c>
      <c r="E12" s="2" cm="1">
        <f t="array" ref="E12">BonusYears(B12,C12)</f>
        <v>1003.1472</v>
      </c>
      <c r="F12" s="2" cm="1">
        <f t="array" ref="F12">BonusPct(B12,C12,$G$3)</f>
        <v>334.38239999999996</v>
      </c>
    </row>
    <row r="13" spans="1:7" x14ac:dyDescent="0.25">
      <c r="A13">
        <v>572</v>
      </c>
      <c r="B13" s="2">
        <v>47413</v>
      </c>
      <c r="C13">
        <v>11.4</v>
      </c>
      <c r="D13" s="2" cm="1">
        <f t="array" ref="D13">bonus(B13)</f>
        <v>7111.95</v>
      </c>
      <c r="E13" s="2" cm="1">
        <f t="array" ref="E13">BonusYears(B13,C13)</f>
        <v>3243.0492000000004</v>
      </c>
      <c r="F13" s="2" cm="1">
        <f t="array" ref="F13">BonusPct(B13,C13,$G$3)</f>
        <v>1081.0164</v>
      </c>
    </row>
    <row r="14" spans="1:7" x14ac:dyDescent="0.25">
      <c r="A14">
        <v>965</v>
      </c>
      <c r="B14" s="2">
        <v>32621</v>
      </c>
      <c r="C14">
        <v>15.5</v>
      </c>
      <c r="D14" s="2" cm="1">
        <f t="array" ref="D14">bonus(B14)</f>
        <v>4893.1499999999996</v>
      </c>
      <c r="E14" s="2" cm="1">
        <f t="array" ref="E14">BonusYears(B14,C14)</f>
        <v>3033.7530000000002</v>
      </c>
      <c r="F14" s="2" cm="1">
        <f t="array" ref="F14">BonusPct(B14,C14,$G$3)</f>
        <v>1011.251</v>
      </c>
    </row>
  </sheetData>
  <customSheetViews>
    <customSheetView guid="{A4CA7F67-F911-4693-95F3-A71028D27F30}">
      <selection activeCell="A3" sqref="A3:E14"/>
      <pageMargins left="0.7" right="0.7" top="0.75" bottom="0.75" header="0.3" footer="0.3"/>
    </customSheetView>
    <customSheetView guid="{32B844FF-781B-4C68-B36E-1D0FD0AC500E}">
      <selection activeCell="A3" sqref="A3:E14"/>
      <pageMargins left="0.7" right="0.7" top="0.75" bottom="0.75" header="0.3" footer="0.3"/>
    </customSheetView>
    <customSheetView guid="{0E180716-8FAC-4A01-B8D4-84509AFAC9BC}">
      <selection activeCell="A3" sqref="A3:E14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23386-BEE0-4628-85AD-810A133B506E}">
  <sheetPr codeName="Sheet3"/>
  <dimension ref="A1:G15"/>
  <sheetViews>
    <sheetView workbookViewId="0"/>
  </sheetViews>
  <sheetFormatPr defaultRowHeight="15" x14ac:dyDescent="0.25"/>
  <cols>
    <col min="1" max="1" width="13.7109375" bestFit="1" customWidth="1"/>
    <col min="2" max="3" width="12.85546875" customWidth="1"/>
    <col min="4" max="5" width="14.85546875" customWidth="1"/>
    <col min="6" max="6" width="13.85546875" bestFit="1" customWidth="1"/>
  </cols>
  <sheetData>
    <row r="1" spans="1:7" x14ac:dyDescent="0.25">
      <c r="A1" t="s">
        <v>77</v>
      </c>
    </row>
    <row r="2" spans="1:7" x14ac:dyDescent="0.25">
      <c r="A2" s="19">
        <f ca="1">TODAY()</f>
        <v>45419</v>
      </c>
    </row>
    <row r="4" spans="1:7" x14ac:dyDescent="0.25">
      <c r="A4" t="s">
        <v>0</v>
      </c>
      <c r="B4" t="s">
        <v>1</v>
      </c>
      <c r="C4" t="s">
        <v>3</v>
      </c>
      <c r="D4" t="s">
        <v>2</v>
      </c>
      <c r="E4" t="s">
        <v>4</v>
      </c>
      <c r="F4" t="s">
        <v>76</v>
      </c>
      <c r="G4" s="18">
        <v>2E-3</v>
      </c>
    </row>
    <row r="5" spans="1:7" x14ac:dyDescent="0.25">
      <c r="A5">
        <v>200</v>
      </c>
      <c r="B5" s="2">
        <v>56939</v>
      </c>
      <c r="C5">
        <v>10.5</v>
      </c>
      <c r="D5" s="2" cm="1">
        <f t="array" ref="D5">bonus(B5)</f>
        <v>8540.85</v>
      </c>
      <c r="E5" s="2" cm="1">
        <f t="array" ref="E5">BonusYears(B5,C5)</f>
        <v>3587.1570000000002</v>
      </c>
      <c r="F5" s="2" cm="1">
        <f t="array" ref="F5">BonusPct(B5,C5,$G$4)</f>
        <v>1195.7190000000001</v>
      </c>
    </row>
    <row r="6" spans="1:7" x14ac:dyDescent="0.25">
      <c r="A6">
        <v>269</v>
      </c>
      <c r="B6" s="2">
        <v>45909</v>
      </c>
      <c r="C6">
        <v>17.399999999999999</v>
      </c>
      <c r="D6" s="2" cm="1">
        <f t="array" ref="D6">bonus(B6)</f>
        <v>6886.3499999999995</v>
      </c>
      <c r="E6" s="2" cm="1">
        <f t="array" ref="E6">BonusYears(B6,C6)</f>
        <v>4792.8995999999997</v>
      </c>
      <c r="F6" s="2" cm="1">
        <f t="array" ref="F6">BonusPct(B6,C6,$G$4)</f>
        <v>1597.6332</v>
      </c>
    </row>
    <row r="7" spans="1:7" x14ac:dyDescent="0.25">
      <c r="A7">
        <v>618</v>
      </c>
      <c r="B7" s="2">
        <v>59932</v>
      </c>
      <c r="C7">
        <v>5</v>
      </c>
      <c r="D7" s="2" cm="1">
        <f t="array" ref="D7">bonus(B7)</f>
        <v>8989.7999999999993</v>
      </c>
      <c r="E7" s="2" cm="1">
        <f t="array" ref="E7">BonusYears(B7,C7)</f>
        <v>1797.96</v>
      </c>
      <c r="F7" s="2" cm="1">
        <f t="array" ref="F7">BonusPct(B7,C7,$G$4)</f>
        <v>599.32000000000005</v>
      </c>
    </row>
    <row r="8" spans="1:7" x14ac:dyDescent="0.25">
      <c r="A8">
        <v>193</v>
      </c>
      <c r="B8" s="2">
        <v>34047</v>
      </c>
      <c r="C8">
        <v>5.9</v>
      </c>
      <c r="D8" s="2" cm="1">
        <f t="array" ref="D8">bonus(B8)</f>
        <v>5107.05</v>
      </c>
      <c r="E8" s="2" cm="1">
        <f t="array" ref="E8">BonusYears(B8,C8)</f>
        <v>1205.2638000000002</v>
      </c>
      <c r="F8" s="2" cm="1">
        <f t="array" ref="F8">BonusPct(B8,C8,$G$4)</f>
        <v>401.75460000000004</v>
      </c>
    </row>
    <row r="9" spans="1:7" x14ac:dyDescent="0.25">
      <c r="A9">
        <v>598</v>
      </c>
      <c r="B9" s="2">
        <v>49993</v>
      </c>
      <c r="C9">
        <v>3</v>
      </c>
      <c r="D9" s="2" cm="1">
        <f t="array" ref="D9">bonus(B9)</f>
        <v>7498.95</v>
      </c>
      <c r="E9" s="2" cm="1">
        <f t="array" ref="E9">BonusYears(B9,C9)</f>
        <v>899.87400000000002</v>
      </c>
      <c r="F9" s="2" cm="1">
        <f t="array" ref="F9">BonusPct(B9,C9,$G$4)</f>
        <v>299.95800000000003</v>
      </c>
    </row>
    <row r="10" spans="1:7" x14ac:dyDescent="0.25">
      <c r="A10">
        <v>349</v>
      </c>
      <c r="B10" s="2">
        <v>50099</v>
      </c>
      <c r="C10">
        <v>10.3</v>
      </c>
      <c r="D10" s="2" cm="1">
        <f t="array" ref="D10">bonus(B10)</f>
        <v>7514.8499999999995</v>
      </c>
      <c r="E10" s="2" cm="1">
        <f t="array" ref="E10">BonusYears(B10,C10)</f>
        <v>3096.1182000000003</v>
      </c>
      <c r="F10" s="2" cm="1">
        <f t="array" ref="F10">BonusPct(B10,C10,$G$4)</f>
        <v>1032.0394000000001</v>
      </c>
    </row>
    <row r="11" spans="1:7" x14ac:dyDescent="0.25">
      <c r="A11">
        <v>388</v>
      </c>
      <c r="B11" s="2">
        <v>30923</v>
      </c>
      <c r="C11">
        <v>18</v>
      </c>
      <c r="D11" s="2" cm="1">
        <f t="array" ref="D11">bonus(B11)</f>
        <v>4638.45</v>
      </c>
      <c r="E11" s="2" cm="1">
        <f t="array" ref="E11">BonusYears(B11,C11)</f>
        <v>3339.6840000000002</v>
      </c>
      <c r="F11" s="2" cm="1">
        <f t="array" ref="F11">BonusPct(B11,C11,$G$4)</f>
        <v>1113.2280000000001</v>
      </c>
    </row>
    <row r="12" spans="1:7" x14ac:dyDescent="0.25">
      <c r="A12">
        <v>349</v>
      </c>
      <c r="B12" s="2">
        <v>36175</v>
      </c>
      <c r="C12">
        <v>19.100000000000001</v>
      </c>
      <c r="D12" s="2" cm="1">
        <f t="array" ref="D12">bonus(B12)</f>
        <v>5426.25</v>
      </c>
      <c r="E12" s="2" cm="1">
        <f t="array" ref="E12">BonusYears(B12,C12)</f>
        <v>4145.6550000000007</v>
      </c>
      <c r="F12" s="2" cm="1">
        <f t="array" ref="F12">BonusPct(B12,C12,$G$4)</f>
        <v>1381.8850000000002</v>
      </c>
    </row>
    <row r="13" spans="1:7" x14ac:dyDescent="0.25">
      <c r="A13">
        <v>914</v>
      </c>
      <c r="B13" s="2">
        <v>50664</v>
      </c>
      <c r="C13">
        <v>3.3</v>
      </c>
      <c r="D13" s="2" cm="1">
        <f t="array" ref="D13">bonus(B13)</f>
        <v>7599.5999999999995</v>
      </c>
      <c r="E13" s="2" cm="1">
        <f t="array" ref="E13">BonusYears(B13,C13)</f>
        <v>1003.1472</v>
      </c>
      <c r="F13" s="2" cm="1">
        <f t="array" ref="F13">BonusPct(B13,C13,$G$4)</f>
        <v>334.38239999999996</v>
      </c>
    </row>
    <row r="14" spans="1:7" x14ac:dyDescent="0.25">
      <c r="A14">
        <v>572</v>
      </c>
      <c r="B14" s="2">
        <v>47413</v>
      </c>
      <c r="C14">
        <v>11.4</v>
      </c>
      <c r="D14" s="2" cm="1">
        <f t="array" ref="D14">bonus(B14)</f>
        <v>7111.95</v>
      </c>
      <c r="E14" s="2" cm="1">
        <f t="array" ref="E14">BonusYears(B14,C14)</f>
        <v>3243.0492000000004</v>
      </c>
      <c r="F14" s="2" cm="1">
        <f t="array" ref="F14">BonusPct(B14,C14,$G$4)</f>
        <v>1081.0164</v>
      </c>
    </row>
    <row r="15" spans="1:7" x14ac:dyDescent="0.25">
      <c r="A15">
        <v>965</v>
      </c>
      <c r="B15" s="2">
        <v>32621</v>
      </c>
      <c r="C15">
        <v>15.5</v>
      </c>
      <c r="D15" s="2" cm="1">
        <f t="array" ref="D15">bonus(B15)</f>
        <v>4893.1499999999996</v>
      </c>
      <c r="E15" s="2" cm="1">
        <f t="array" ref="E15">BonusYears(B15,C15)</f>
        <v>3033.7530000000002</v>
      </c>
      <c r="F15" s="2" cm="1">
        <f t="array" ref="F15">BonusPct(B15,C15,$G$4)</f>
        <v>1011.251</v>
      </c>
    </row>
  </sheetData>
  <customSheetViews>
    <customSheetView guid="{A4CA7F67-F911-4693-95F3-A71028D27F30}">
      <pageMargins left="0.7" right="0.7" top="0.75" bottom="0.75" header="0.3" footer="0.3"/>
    </customSheetView>
    <customSheetView guid="{32B844FF-781B-4C68-B36E-1D0FD0AC500E}">
      <pageMargins left="0.7" right="0.7" top="0.75" bottom="0.75" header="0.3" footer="0.3"/>
    </customSheetView>
    <customSheetView guid="{0E180716-8FAC-4A01-B8D4-84509AFAC9BC}"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3FDE-C62B-49D2-8FDC-71952CFB4885}">
  <sheetPr codeName="Sheet4"/>
  <dimension ref="A1:E12"/>
  <sheetViews>
    <sheetView workbookViewId="0">
      <selection activeCell="A13" sqref="A13"/>
    </sheetView>
  </sheetViews>
  <sheetFormatPr defaultRowHeight="15" x14ac:dyDescent="0.25"/>
  <cols>
    <col min="1" max="1" width="13.7109375" bestFit="1" customWidth="1"/>
    <col min="2" max="3" width="12.85546875" customWidth="1"/>
    <col min="4" max="5" width="14.85546875" customWidth="1"/>
  </cols>
  <sheetData>
    <row r="1" spans="1:5" x14ac:dyDescent="0.25">
      <c r="A1" s="20" t="s">
        <v>0</v>
      </c>
      <c r="B1" s="20" t="s">
        <v>1</v>
      </c>
      <c r="C1" s="20" t="s">
        <v>3</v>
      </c>
      <c r="D1" s="20" t="s">
        <v>2</v>
      </c>
      <c r="E1" s="20" t="s">
        <v>4</v>
      </c>
    </row>
    <row r="2" spans="1:5" x14ac:dyDescent="0.25">
      <c r="A2" s="20">
        <v>200</v>
      </c>
      <c r="B2" s="21">
        <v>56939</v>
      </c>
      <c r="C2" s="20">
        <v>10.5</v>
      </c>
      <c r="D2" s="21" cm="1">
        <f t="array" ref="D2">bonus(B2)</f>
        <v>8540.85</v>
      </c>
      <c r="E2" s="21" cm="1">
        <f t="array" ref="E2">BonusYears(B2,C2)</f>
        <v>3587.1570000000002</v>
      </c>
    </row>
    <row r="3" spans="1:5" x14ac:dyDescent="0.25">
      <c r="A3" s="20">
        <v>269</v>
      </c>
      <c r="B3" s="21">
        <v>45909</v>
      </c>
      <c r="C3" s="20">
        <v>17.399999999999999</v>
      </c>
      <c r="D3" s="21" cm="1">
        <f t="array" ref="D3">bonus(B3)</f>
        <v>6886.3499999999995</v>
      </c>
      <c r="E3" s="21" cm="1">
        <f t="array" ref="E3">BonusYears(B3,C3)</f>
        <v>4792.8995999999997</v>
      </c>
    </row>
    <row r="4" spans="1:5" x14ac:dyDescent="0.25">
      <c r="A4" s="20">
        <v>618</v>
      </c>
      <c r="B4" s="21">
        <v>59932</v>
      </c>
      <c r="C4" s="20">
        <v>5</v>
      </c>
      <c r="D4" s="21" cm="1">
        <f t="array" ref="D4">bonus(B4)</f>
        <v>8989.7999999999993</v>
      </c>
      <c r="E4" s="21" cm="1">
        <f t="array" ref="E4">BonusYears(B4,C4)</f>
        <v>1797.96</v>
      </c>
    </row>
    <row r="5" spans="1:5" x14ac:dyDescent="0.25">
      <c r="A5" s="20">
        <v>193</v>
      </c>
      <c r="B5" s="21">
        <v>34047</v>
      </c>
      <c r="C5" s="20">
        <v>5.9</v>
      </c>
      <c r="D5" s="21" cm="1">
        <f t="array" ref="D5">bonus(B5)</f>
        <v>5107.05</v>
      </c>
      <c r="E5" s="21" cm="1">
        <f t="array" ref="E5">BonusYears(B5,C5)</f>
        <v>1205.2638000000002</v>
      </c>
    </row>
    <row r="6" spans="1:5" x14ac:dyDescent="0.25">
      <c r="A6" s="20">
        <v>598</v>
      </c>
      <c r="B6" s="21">
        <v>49993</v>
      </c>
      <c r="C6" s="20">
        <v>3</v>
      </c>
      <c r="D6" s="21" cm="1">
        <f t="array" ref="D6">bonus(B6)</f>
        <v>7498.95</v>
      </c>
      <c r="E6" s="21" cm="1">
        <f t="array" ref="E6">BonusYears(B6,C6)</f>
        <v>899.87400000000002</v>
      </c>
    </row>
    <row r="7" spans="1:5" x14ac:dyDescent="0.25">
      <c r="A7" s="20">
        <v>349</v>
      </c>
      <c r="B7" s="21">
        <v>50099</v>
      </c>
      <c r="C7" s="20">
        <v>10.3</v>
      </c>
      <c r="D7" s="21" cm="1">
        <f t="array" ref="D7">bonus(B7)</f>
        <v>7514.8499999999995</v>
      </c>
      <c r="E7" s="21" cm="1">
        <f t="array" ref="E7">BonusYears(B7,C7)</f>
        <v>3096.1182000000003</v>
      </c>
    </row>
    <row r="8" spans="1:5" x14ac:dyDescent="0.25">
      <c r="A8" s="20">
        <v>388</v>
      </c>
      <c r="B8" s="21">
        <v>30923</v>
      </c>
      <c r="C8" s="20">
        <v>18</v>
      </c>
      <c r="D8" s="21" cm="1">
        <f t="array" ref="D8">bonus(B8)</f>
        <v>4638.45</v>
      </c>
      <c r="E8" s="21" cm="1">
        <f t="array" ref="E8">BonusYears(B8,C8)</f>
        <v>3339.6840000000002</v>
      </c>
    </row>
    <row r="9" spans="1:5" x14ac:dyDescent="0.25">
      <c r="A9" s="20">
        <v>349</v>
      </c>
      <c r="B9" s="21">
        <v>36175</v>
      </c>
      <c r="C9" s="20">
        <v>19.100000000000001</v>
      </c>
      <c r="D9" s="21" cm="1">
        <f t="array" ref="D9">bonus(B9)</f>
        <v>5426.25</v>
      </c>
      <c r="E9" s="21" cm="1">
        <f t="array" ref="E9">BonusYears(B9,C9)</f>
        <v>4145.6550000000007</v>
      </c>
    </row>
    <row r="10" spans="1:5" x14ac:dyDescent="0.25">
      <c r="A10" s="20">
        <v>914</v>
      </c>
      <c r="B10" s="21">
        <v>50664</v>
      </c>
      <c r="C10" s="20">
        <v>3.3</v>
      </c>
      <c r="D10" s="21" cm="1">
        <f t="array" ref="D10">bonus(B10)</f>
        <v>7599.5999999999995</v>
      </c>
      <c r="E10" s="21" cm="1">
        <f t="array" ref="E10">BonusYears(B10,C10)</f>
        <v>1003.1472</v>
      </c>
    </row>
    <row r="11" spans="1:5" x14ac:dyDescent="0.25">
      <c r="A11" s="20">
        <v>572</v>
      </c>
      <c r="B11" s="21">
        <v>47413</v>
      </c>
      <c r="C11" s="20">
        <v>11.4</v>
      </c>
      <c r="D11" s="21" cm="1">
        <f t="array" ref="D11">bonus(B11)</f>
        <v>7111.95</v>
      </c>
      <c r="E11" s="21" cm="1">
        <f t="array" ref="E11">BonusYears(B11,C11)</f>
        <v>3243.0492000000004</v>
      </c>
    </row>
    <row r="12" spans="1:5" x14ac:dyDescent="0.25">
      <c r="A12" s="20">
        <v>965</v>
      </c>
      <c r="B12" s="21">
        <v>32621</v>
      </c>
      <c r="C12" s="20">
        <v>15.5</v>
      </c>
      <c r="D12" s="21" cm="1">
        <f t="array" ref="D12">bonus(B12)</f>
        <v>4893.1499999999996</v>
      </c>
      <c r="E12" s="21" cm="1">
        <f t="array" ref="E12">BonusYears(B12,C12)</f>
        <v>3033.7530000000002</v>
      </c>
    </row>
  </sheetData>
  <sortState xmlns:xlrd2="http://schemas.microsoft.com/office/spreadsheetml/2017/richdata2" ref="A2:E12">
    <sortCondition descending="1" ref="A2:A12"/>
  </sortState>
  <customSheetViews>
    <customSheetView guid="{A4CA7F67-F911-4693-95F3-A71028D27F30}">
      <selection activeCell="R17" sqref="R17"/>
      <pageMargins left="0.7" right="0.7" top="0.75" bottom="0.75" header="0.3" footer="0.3"/>
      <pageSetup orientation="portrait" horizontalDpi="4294967295" verticalDpi="4294967295" r:id="rId1"/>
    </customSheetView>
    <customSheetView guid="{32B844FF-781B-4C68-B36E-1D0FD0AC500E}">
      <selection activeCell="R17" sqref="R17"/>
      <pageMargins left="0.7" right="0.7" top="0.75" bottom="0.75" header="0.3" footer="0.3"/>
      <pageSetup orientation="portrait" horizontalDpi="4294967295" verticalDpi="4294967295" r:id="rId2"/>
    </customSheetView>
    <customSheetView guid="{0E180716-8FAC-4A01-B8D4-84509AFAC9BC}">
      <selection activeCell="R17" sqref="R17"/>
      <pageMargins left="0.7" right="0.7" top="0.75" bottom="0.75" header="0.3" footer="0.3"/>
      <pageSetup orientation="portrait" horizontalDpi="4294967295" verticalDpi="4294967295" r:id="rId3"/>
    </customSheetView>
  </customSheetViews>
  <pageMargins left="0.7" right="0.7" top="0.75" bottom="0.75" header="0.3" footer="0.3"/>
  <pageSetup orientation="portrait" horizontalDpi="4294967295" verticalDpi="4294967295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BB343-221A-452B-8E3F-462DAC727E5F}">
  <sheetPr codeName="Sheet1"/>
  <dimension ref="B1:S158"/>
  <sheetViews>
    <sheetView workbookViewId="0"/>
  </sheetViews>
  <sheetFormatPr defaultRowHeight="15" x14ac:dyDescent="0.25"/>
  <cols>
    <col min="1" max="1" width="21.5703125" customWidth="1"/>
    <col min="2" max="2" width="23.5703125" customWidth="1"/>
    <col min="3" max="3" width="8.7109375" style="1"/>
    <col min="4" max="19" width="9.140625" customWidth="1"/>
  </cols>
  <sheetData>
    <row r="1" spans="2:19" s="5" customFormat="1" ht="75.75" thickBot="1" x14ac:dyDescent="0.3">
      <c r="B1" s="3" t="s">
        <v>5</v>
      </c>
      <c r="C1" s="4" t="s">
        <v>6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  <c r="L1" s="5" t="s">
        <v>15</v>
      </c>
      <c r="M1" s="5" t="s">
        <v>16</v>
      </c>
      <c r="N1" s="5" t="s">
        <v>17</v>
      </c>
      <c r="O1" s="5" t="s">
        <v>18</v>
      </c>
      <c r="P1" s="5" t="s">
        <v>19</v>
      </c>
      <c r="Q1" s="5" t="s">
        <v>20</v>
      </c>
      <c r="R1" s="5" t="s">
        <v>21</v>
      </c>
      <c r="S1" s="5" t="s">
        <v>22</v>
      </c>
    </row>
    <row r="2" spans="2:19" ht="15.75" thickBot="1" x14ac:dyDescent="0.3">
      <c r="B2" s="6" t="s">
        <v>23</v>
      </c>
      <c r="C2" s="7">
        <v>1999</v>
      </c>
      <c r="D2">
        <v>203.5</v>
      </c>
      <c r="E2">
        <v>101</v>
      </c>
      <c r="F2">
        <v>76.5</v>
      </c>
      <c r="G2">
        <v>20.7</v>
      </c>
      <c r="H2">
        <v>5</v>
      </c>
      <c r="I2">
        <v>0.4</v>
      </c>
      <c r="J2">
        <v>0</v>
      </c>
      <c r="K2">
        <v>145</v>
      </c>
      <c r="L2">
        <v>89.9</v>
      </c>
      <c r="M2">
        <v>47.6</v>
      </c>
      <c r="N2">
        <v>2</v>
      </c>
      <c r="O2">
        <v>0</v>
      </c>
      <c r="P2">
        <v>75.7</v>
      </c>
      <c r="Q2">
        <v>42.2</v>
      </c>
      <c r="R2">
        <v>66.2</v>
      </c>
      <c r="S2">
        <v>17.399999999999999</v>
      </c>
    </row>
    <row r="3" spans="2:19" ht="15.75" thickBot="1" x14ac:dyDescent="0.3">
      <c r="B3" s="8" t="s">
        <v>23</v>
      </c>
      <c r="C3" s="9">
        <v>2009</v>
      </c>
      <c r="D3">
        <v>258.8</v>
      </c>
      <c r="E3">
        <v>188.3</v>
      </c>
      <c r="F3">
        <v>69.599999999999994</v>
      </c>
      <c r="G3">
        <v>0.9</v>
      </c>
      <c r="H3">
        <v>0</v>
      </c>
      <c r="I3">
        <v>0</v>
      </c>
      <c r="J3">
        <v>0</v>
      </c>
      <c r="K3">
        <v>97.8</v>
      </c>
      <c r="L3">
        <v>59.4</v>
      </c>
      <c r="M3">
        <v>39.5</v>
      </c>
      <c r="N3">
        <v>0.2</v>
      </c>
      <c r="O3">
        <v>0</v>
      </c>
      <c r="P3">
        <v>115.9</v>
      </c>
      <c r="Q3">
        <v>0.4</v>
      </c>
      <c r="R3">
        <v>134.69999999999999</v>
      </c>
      <c r="S3">
        <v>7.5</v>
      </c>
    </row>
    <row r="4" spans="2:19" ht="15.75" thickBot="1" x14ac:dyDescent="0.3">
      <c r="B4" s="10" t="s">
        <v>23</v>
      </c>
      <c r="C4" s="11">
        <v>2019</v>
      </c>
      <c r="D4">
        <v>175.8</v>
      </c>
      <c r="E4">
        <v>142.69999999999999</v>
      </c>
      <c r="F4">
        <v>32.9</v>
      </c>
      <c r="G4">
        <v>0.1</v>
      </c>
      <c r="H4">
        <v>0.1</v>
      </c>
      <c r="I4">
        <v>0</v>
      </c>
      <c r="J4">
        <v>0</v>
      </c>
      <c r="K4">
        <v>90.9</v>
      </c>
      <c r="L4">
        <v>54.4</v>
      </c>
      <c r="M4">
        <v>40.299999999999997</v>
      </c>
      <c r="N4">
        <v>0.1</v>
      </c>
      <c r="O4">
        <v>0.1</v>
      </c>
      <c r="P4">
        <v>105.2</v>
      </c>
      <c r="Q4">
        <v>4.5999999999999996</v>
      </c>
      <c r="R4">
        <v>65.8</v>
      </c>
      <c r="S4">
        <v>0.1</v>
      </c>
    </row>
    <row r="5" spans="2:19" ht="15.75" thickBot="1" x14ac:dyDescent="0.3">
      <c r="B5" s="6" t="s">
        <v>24</v>
      </c>
      <c r="C5" s="7">
        <v>1999</v>
      </c>
      <c r="D5">
        <v>194</v>
      </c>
      <c r="E5">
        <v>171.7</v>
      </c>
      <c r="F5">
        <v>20.5</v>
      </c>
      <c r="G5">
        <v>1.5</v>
      </c>
      <c r="H5">
        <v>0.3</v>
      </c>
      <c r="I5">
        <v>0</v>
      </c>
      <c r="J5">
        <v>0</v>
      </c>
      <c r="K5">
        <v>103.3</v>
      </c>
      <c r="L5">
        <v>47.7</v>
      </c>
      <c r="M5">
        <v>21.8</v>
      </c>
      <c r="N5">
        <v>51.3</v>
      </c>
      <c r="O5">
        <v>0</v>
      </c>
      <c r="P5">
        <v>59.7</v>
      </c>
      <c r="Q5">
        <v>0</v>
      </c>
      <c r="R5">
        <v>46.5</v>
      </c>
      <c r="S5">
        <v>36.5</v>
      </c>
    </row>
    <row r="6" spans="2:19" ht="15.75" thickBot="1" x14ac:dyDescent="0.3">
      <c r="B6" s="6" t="s">
        <v>24</v>
      </c>
      <c r="C6" s="9">
        <v>2009</v>
      </c>
      <c r="D6">
        <v>212.6</v>
      </c>
      <c r="E6">
        <v>178.9</v>
      </c>
      <c r="F6">
        <v>27.6</v>
      </c>
      <c r="G6">
        <v>3.9</v>
      </c>
      <c r="H6">
        <v>2</v>
      </c>
      <c r="I6">
        <v>0.1</v>
      </c>
      <c r="J6">
        <v>0.1</v>
      </c>
      <c r="K6">
        <v>118</v>
      </c>
      <c r="L6">
        <v>45.8</v>
      </c>
      <c r="M6">
        <v>18</v>
      </c>
      <c r="N6">
        <v>3.2</v>
      </c>
      <c r="O6">
        <v>0</v>
      </c>
      <c r="P6">
        <v>38.9</v>
      </c>
      <c r="Q6">
        <v>0</v>
      </c>
      <c r="R6">
        <v>160</v>
      </c>
      <c r="S6">
        <v>10.4</v>
      </c>
    </row>
    <row r="7" spans="2:19" ht="15.75" thickBot="1" x14ac:dyDescent="0.3">
      <c r="B7" s="10" t="s">
        <v>24</v>
      </c>
      <c r="C7" s="11">
        <v>2019</v>
      </c>
      <c r="D7">
        <v>186.2</v>
      </c>
      <c r="E7">
        <v>157.5</v>
      </c>
      <c r="F7">
        <v>25.3</v>
      </c>
      <c r="G7">
        <v>2</v>
      </c>
      <c r="H7">
        <v>1.3</v>
      </c>
      <c r="I7">
        <v>0</v>
      </c>
      <c r="J7">
        <v>0</v>
      </c>
      <c r="K7">
        <v>103.2</v>
      </c>
      <c r="L7">
        <v>56.8</v>
      </c>
      <c r="M7">
        <v>26.2</v>
      </c>
      <c r="N7">
        <v>0.5</v>
      </c>
      <c r="O7">
        <v>2.7</v>
      </c>
      <c r="P7">
        <v>52.8</v>
      </c>
      <c r="Q7">
        <v>0.2</v>
      </c>
      <c r="R7">
        <v>97.7</v>
      </c>
      <c r="S7">
        <v>32.299999999999997</v>
      </c>
    </row>
    <row r="8" spans="2:19" ht="15.75" thickBot="1" x14ac:dyDescent="0.3">
      <c r="B8" s="6" t="s">
        <v>25</v>
      </c>
      <c r="C8" s="7">
        <v>1999</v>
      </c>
      <c r="D8">
        <v>242.8</v>
      </c>
      <c r="E8">
        <v>115.5</v>
      </c>
      <c r="F8">
        <v>92.3</v>
      </c>
      <c r="G8">
        <v>32.5</v>
      </c>
      <c r="H8">
        <v>2.6</v>
      </c>
      <c r="I8">
        <v>0</v>
      </c>
      <c r="J8">
        <v>0</v>
      </c>
      <c r="K8">
        <v>135.30000000000001</v>
      </c>
      <c r="L8">
        <v>81.099999999999994</v>
      </c>
      <c r="M8">
        <v>49</v>
      </c>
      <c r="N8">
        <v>0.2</v>
      </c>
      <c r="O8">
        <v>12.8</v>
      </c>
      <c r="P8">
        <v>140.4</v>
      </c>
      <c r="Q8">
        <v>36.299999999999997</v>
      </c>
      <c r="R8">
        <v>26.8</v>
      </c>
      <c r="S8">
        <v>26.3</v>
      </c>
    </row>
    <row r="9" spans="2:19" ht="15.75" thickBot="1" x14ac:dyDescent="0.3">
      <c r="B9" s="8" t="s">
        <v>25</v>
      </c>
      <c r="C9" s="9">
        <v>2009</v>
      </c>
      <c r="D9">
        <v>324</v>
      </c>
      <c r="E9">
        <v>193.4</v>
      </c>
      <c r="F9">
        <v>113.8</v>
      </c>
      <c r="G9">
        <v>13.9</v>
      </c>
      <c r="H9">
        <v>2.2000000000000002</v>
      </c>
      <c r="I9">
        <v>0.2</v>
      </c>
      <c r="J9">
        <v>0.3</v>
      </c>
      <c r="K9">
        <v>234.8</v>
      </c>
      <c r="L9">
        <v>73.7</v>
      </c>
      <c r="M9">
        <v>47.2</v>
      </c>
      <c r="N9">
        <v>0</v>
      </c>
      <c r="O9">
        <v>5.6</v>
      </c>
      <c r="P9">
        <v>170.6</v>
      </c>
      <c r="Q9">
        <v>18.600000000000001</v>
      </c>
      <c r="R9">
        <v>20.7</v>
      </c>
      <c r="S9">
        <v>108.5</v>
      </c>
    </row>
    <row r="10" spans="2:19" ht="15.75" thickBot="1" x14ac:dyDescent="0.3">
      <c r="B10" s="10" t="s">
        <v>25</v>
      </c>
      <c r="C10" s="11">
        <v>2019</v>
      </c>
      <c r="D10">
        <v>271.8</v>
      </c>
      <c r="E10">
        <v>183.8</v>
      </c>
      <c r="F10">
        <v>80.599999999999994</v>
      </c>
      <c r="G10">
        <v>6.1</v>
      </c>
      <c r="H10">
        <v>0.5</v>
      </c>
      <c r="I10">
        <v>0.2</v>
      </c>
      <c r="J10">
        <v>0.5</v>
      </c>
      <c r="K10">
        <v>162.6</v>
      </c>
      <c r="L10">
        <v>66.599999999999994</v>
      </c>
      <c r="M10">
        <v>43.5</v>
      </c>
      <c r="N10">
        <v>0.2</v>
      </c>
      <c r="O10">
        <v>0.1</v>
      </c>
      <c r="P10">
        <v>174.8</v>
      </c>
      <c r="Q10">
        <v>5.7</v>
      </c>
      <c r="R10">
        <v>24.4</v>
      </c>
      <c r="S10">
        <v>66.8</v>
      </c>
    </row>
    <row r="11" spans="2:19" ht="15.75" thickBot="1" x14ac:dyDescent="0.3">
      <c r="B11" s="8" t="s">
        <v>26</v>
      </c>
      <c r="C11" s="7">
        <v>1999</v>
      </c>
      <c r="D11">
        <v>130.1</v>
      </c>
      <c r="E11">
        <v>86.5</v>
      </c>
      <c r="F11">
        <v>36.799999999999997</v>
      </c>
      <c r="G11">
        <v>5.8</v>
      </c>
      <c r="H11">
        <v>1</v>
      </c>
      <c r="I11">
        <v>0</v>
      </c>
      <c r="J11">
        <v>0</v>
      </c>
      <c r="K11">
        <v>111.9</v>
      </c>
      <c r="L11">
        <v>76.5</v>
      </c>
      <c r="M11">
        <v>47.5</v>
      </c>
      <c r="N11">
        <v>0.9</v>
      </c>
      <c r="O11">
        <v>2.4</v>
      </c>
      <c r="P11">
        <v>71.5</v>
      </c>
      <c r="Q11">
        <v>24.6</v>
      </c>
      <c r="R11">
        <v>30.6</v>
      </c>
      <c r="S11">
        <v>0.2</v>
      </c>
    </row>
    <row r="12" spans="2:19" ht="15.75" thickBot="1" x14ac:dyDescent="0.3">
      <c r="B12" s="6" t="s">
        <v>26</v>
      </c>
      <c r="C12" s="9">
        <v>2009</v>
      </c>
      <c r="D12">
        <v>215.1</v>
      </c>
      <c r="E12">
        <v>167.7</v>
      </c>
      <c r="F12">
        <v>46.5</v>
      </c>
      <c r="G12">
        <v>0.9</v>
      </c>
      <c r="H12">
        <v>0</v>
      </c>
      <c r="I12">
        <v>0</v>
      </c>
      <c r="J12">
        <v>0</v>
      </c>
      <c r="K12">
        <v>97.8</v>
      </c>
      <c r="L12">
        <v>58.5</v>
      </c>
      <c r="M12">
        <v>37.299999999999997</v>
      </c>
      <c r="N12">
        <v>0</v>
      </c>
      <c r="O12">
        <v>2.6</v>
      </c>
      <c r="P12">
        <v>87.9</v>
      </c>
      <c r="Q12">
        <v>17.5</v>
      </c>
      <c r="R12">
        <v>107.1</v>
      </c>
      <c r="S12">
        <v>0</v>
      </c>
    </row>
    <row r="13" spans="2:19" ht="15.75" thickBot="1" x14ac:dyDescent="0.3">
      <c r="B13" s="10" t="s">
        <v>26</v>
      </c>
      <c r="C13" s="11">
        <v>2019</v>
      </c>
      <c r="D13">
        <v>179.2</v>
      </c>
      <c r="E13">
        <v>146.4</v>
      </c>
      <c r="F13">
        <v>32.6</v>
      </c>
      <c r="G13">
        <v>0.2</v>
      </c>
      <c r="H13">
        <v>0</v>
      </c>
      <c r="I13">
        <v>0</v>
      </c>
      <c r="J13">
        <v>0</v>
      </c>
      <c r="K13">
        <v>85.1</v>
      </c>
      <c r="L13">
        <v>54.2</v>
      </c>
      <c r="M13">
        <v>36.9</v>
      </c>
      <c r="N13">
        <v>0.1</v>
      </c>
      <c r="O13">
        <v>0.2</v>
      </c>
      <c r="P13">
        <v>88.5</v>
      </c>
      <c r="Q13">
        <v>0</v>
      </c>
      <c r="R13">
        <v>90.5</v>
      </c>
      <c r="S13">
        <v>0</v>
      </c>
    </row>
    <row r="14" spans="2:19" ht="15.75" thickBot="1" x14ac:dyDescent="0.3">
      <c r="B14" s="8" t="s">
        <v>27</v>
      </c>
      <c r="C14" s="7">
        <v>1999</v>
      </c>
      <c r="D14">
        <v>328.3</v>
      </c>
      <c r="E14">
        <v>181.7</v>
      </c>
      <c r="F14">
        <v>90.2</v>
      </c>
      <c r="G14">
        <v>37.6</v>
      </c>
      <c r="H14">
        <v>16.8</v>
      </c>
      <c r="I14">
        <v>1.7</v>
      </c>
      <c r="J14">
        <v>0.1</v>
      </c>
      <c r="K14">
        <v>217.4</v>
      </c>
      <c r="L14">
        <v>102.9</v>
      </c>
      <c r="M14">
        <v>51</v>
      </c>
      <c r="N14">
        <v>2.7</v>
      </c>
      <c r="O14">
        <v>44.8</v>
      </c>
      <c r="P14">
        <v>225.5</v>
      </c>
      <c r="Q14">
        <v>3</v>
      </c>
      <c r="R14">
        <v>38.6</v>
      </c>
      <c r="S14">
        <v>13.5</v>
      </c>
    </row>
    <row r="15" spans="2:19" ht="15.75" thickBot="1" x14ac:dyDescent="0.3">
      <c r="B15" s="8" t="s">
        <v>27</v>
      </c>
      <c r="C15" s="9">
        <v>2009</v>
      </c>
      <c r="D15">
        <v>348</v>
      </c>
      <c r="E15">
        <v>206.8</v>
      </c>
      <c r="F15">
        <v>108.2</v>
      </c>
      <c r="G15">
        <v>24.3</v>
      </c>
      <c r="H15">
        <v>7.9</v>
      </c>
      <c r="I15">
        <v>0.5</v>
      </c>
      <c r="J15">
        <v>0.1</v>
      </c>
      <c r="K15">
        <v>436</v>
      </c>
      <c r="L15">
        <v>88.5</v>
      </c>
      <c r="M15">
        <v>47.5</v>
      </c>
      <c r="N15">
        <v>0.2</v>
      </c>
      <c r="O15">
        <v>12.6</v>
      </c>
      <c r="P15">
        <v>227.3</v>
      </c>
      <c r="Q15">
        <v>0.1</v>
      </c>
      <c r="R15">
        <v>94.7</v>
      </c>
      <c r="S15">
        <v>13.2</v>
      </c>
    </row>
    <row r="16" spans="2:19" ht="15.75" thickBot="1" x14ac:dyDescent="0.3">
      <c r="B16" s="10" t="s">
        <v>27</v>
      </c>
      <c r="C16" s="11">
        <v>2019</v>
      </c>
      <c r="D16">
        <v>206.9</v>
      </c>
      <c r="E16">
        <v>157.1</v>
      </c>
      <c r="F16">
        <v>43.4</v>
      </c>
      <c r="G16">
        <v>5.7</v>
      </c>
      <c r="H16">
        <v>0.6</v>
      </c>
      <c r="I16">
        <v>0</v>
      </c>
      <c r="J16">
        <v>0.1</v>
      </c>
      <c r="K16">
        <v>185.5</v>
      </c>
      <c r="L16">
        <v>62.5</v>
      </c>
      <c r="M16">
        <v>39.799999999999997</v>
      </c>
      <c r="N16">
        <v>0.3</v>
      </c>
      <c r="O16">
        <v>1.9</v>
      </c>
      <c r="P16">
        <v>140.30000000000001</v>
      </c>
      <c r="Q16">
        <v>0</v>
      </c>
      <c r="R16">
        <v>56.4</v>
      </c>
      <c r="S16">
        <v>8</v>
      </c>
    </row>
    <row r="17" spans="2:19" ht="15.75" thickBot="1" x14ac:dyDescent="0.3">
      <c r="B17" s="6" t="s">
        <v>28</v>
      </c>
      <c r="C17" s="7">
        <v>1999</v>
      </c>
      <c r="D17">
        <v>188</v>
      </c>
      <c r="E17">
        <v>179</v>
      </c>
      <c r="F17">
        <v>7</v>
      </c>
      <c r="G17">
        <v>2</v>
      </c>
      <c r="H17">
        <v>0</v>
      </c>
      <c r="I17">
        <v>0</v>
      </c>
      <c r="J17">
        <v>0</v>
      </c>
      <c r="K17">
        <v>133</v>
      </c>
      <c r="L17">
        <v>47</v>
      </c>
      <c r="M17">
        <v>34</v>
      </c>
      <c r="N17">
        <v>0</v>
      </c>
      <c r="O17">
        <v>0</v>
      </c>
      <c r="P17">
        <v>188</v>
      </c>
      <c r="Q17">
        <v>0</v>
      </c>
      <c r="R17">
        <v>0</v>
      </c>
      <c r="S17">
        <v>0</v>
      </c>
    </row>
    <row r="18" spans="2:19" ht="15.75" thickBot="1" x14ac:dyDescent="0.3">
      <c r="B18" s="6" t="s">
        <v>29</v>
      </c>
      <c r="C18" s="7">
        <v>1999</v>
      </c>
      <c r="D18">
        <v>253.7</v>
      </c>
      <c r="E18">
        <v>205.5</v>
      </c>
      <c r="F18">
        <v>45.1</v>
      </c>
      <c r="G18">
        <v>2.8</v>
      </c>
      <c r="H18">
        <v>0.2</v>
      </c>
      <c r="I18">
        <v>0</v>
      </c>
      <c r="J18">
        <v>0.1</v>
      </c>
      <c r="K18">
        <v>129.1</v>
      </c>
      <c r="L18">
        <v>51.3</v>
      </c>
      <c r="M18">
        <v>28.7</v>
      </c>
      <c r="N18">
        <v>14.9</v>
      </c>
      <c r="O18">
        <v>13.4</v>
      </c>
      <c r="P18">
        <v>89</v>
      </c>
      <c r="Q18">
        <v>3.1</v>
      </c>
      <c r="R18">
        <v>21.4</v>
      </c>
      <c r="S18">
        <v>111.9</v>
      </c>
    </row>
    <row r="19" spans="2:19" ht="15.75" thickBot="1" x14ac:dyDescent="0.3">
      <c r="B19" s="8" t="s">
        <v>29</v>
      </c>
      <c r="C19" s="9">
        <v>2009</v>
      </c>
      <c r="D19">
        <v>264.89999999999998</v>
      </c>
      <c r="E19">
        <v>207.6</v>
      </c>
      <c r="F19">
        <v>54.8</v>
      </c>
      <c r="G19">
        <v>2.4</v>
      </c>
      <c r="H19">
        <v>0.1</v>
      </c>
      <c r="I19">
        <v>0</v>
      </c>
      <c r="J19">
        <v>0</v>
      </c>
      <c r="K19">
        <v>106.6</v>
      </c>
      <c r="L19">
        <v>55.7</v>
      </c>
      <c r="M19">
        <v>34.5</v>
      </c>
      <c r="N19">
        <v>0.4</v>
      </c>
      <c r="O19">
        <v>3.5</v>
      </c>
      <c r="P19">
        <v>160</v>
      </c>
      <c r="Q19">
        <v>0.3</v>
      </c>
      <c r="R19">
        <v>20.100000000000001</v>
      </c>
      <c r="S19">
        <v>80.5</v>
      </c>
    </row>
    <row r="20" spans="2:19" ht="15.75" thickBot="1" x14ac:dyDescent="0.3">
      <c r="B20" s="10" t="s">
        <v>29</v>
      </c>
      <c r="C20" s="11">
        <v>2019</v>
      </c>
      <c r="D20">
        <v>187.6</v>
      </c>
      <c r="E20">
        <v>131.4</v>
      </c>
      <c r="F20">
        <v>54.1</v>
      </c>
      <c r="G20">
        <v>1.9</v>
      </c>
      <c r="H20">
        <v>0.1</v>
      </c>
      <c r="I20">
        <v>0</v>
      </c>
      <c r="J20">
        <v>0</v>
      </c>
      <c r="K20">
        <v>107.7</v>
      </c>
      <c r="L20">
        <v>58.1</v>
      </c>
      <c r="M20">
        <v>37.799999999999997</v>
      </c>
      <c r="N20">
        <v>0.3</v>
      </c>
      <c r="O20">
        <v>3.9</v>
      </c>
      <c r="P20">
        <v>140.5</v>
      </c>
      <c r="Q20">
        <v>0.1</v>
      </c>
      <c r="R20">
        <v>17.2</v>
      </c>
      <c r="S20">
        <v>25.5</v>
      </c>
    </row>
    <row r="21" spans="2:19" ht="15.75" thickBot="1" x14ac:dyDescent="0.3">
      <c r="B21" s="8" t="s">
        <v>30</v>
      </c>
      <c r="C21" s="7">
        <v>1999</v>
      </c>
      <c r="D21">
        <v>302</v>
      </c>
      <c r="E21">
        <v>192.7</v>
      </c>
      <c r="F21">
        <v>80.599999999999994</v>
      </c>
      <c r="G21">
        <v>15.1</v>
      </c>
      <c r="H21">
        <v>11</v>
      </c>
      <c r="I21">
        <v>2.6</v>
      </c>
      <c r="J21">
        <v>0</v>
      </c>
      <c r="K21">
        <v>213.1</v>
      </c>
      <c r="L21">
        <v>101.1</v>
      </c>
      <c r="M21">
        <v>44.7</v>
      </c>
      <c r="N21">
        <v>5.6</v>
      </c>
      <c r="O21">
        <v>44.1</v>
      </c>
      <c r="P21">
        <v>180.7</v>
      </c>
      <c r="Q21">
        <v>14.9</v>
      </c>
      <c r="R21">
        <v>46</v>
      </c>
      <c r="S21">
        <v>10.7</v>
      </c>
    </row>
    <row r="22" spans="2:19" ht="15.75" thickBot="1" x14ac:dyDescent="0.3">
      <c r="B22" s="6" t="s">
        <v>30</v>
      </c>
      <c r="C22" s="9">
        <v>2009</v>
      </c>
      <c r="D22">
        <v>311.60000000000002</v>
      </c>
      <c r="E22">
        <v>244.6</v>
      </c>
      <c r="F22">
        <v>61.6</v>
      </c>
      <c r="G22">
        <v>5.4</v>
      </c>
      <c r="H22">
        <v>0</v>
      </c>
      <c r="I22">
        <v>0</v>
      </c>
      <c r="J22">
        <v>0</v>
      </c>
      <c r="K22">
        <v>132.69999999999999</v>
      </c>
      <c r="L22">
        <v>64.099999999999994</v>
      </c>
      <c r="M22">
        <v>37.1</v>
      </c>
      <c r="N22">
        <v>2.4</v>
      </c>
      <c r="O22">
        <v>22</v>
      </c>
      <c r="P22">
        <v>180</v>
      </c>
      <c r="Q22">
        <v>0.7</v>
      </c>
      <c r="R22">
        <v>106.3</v>
      </c>
      <c r="S22">
        <v>0.1</v>
      </c>
    </row>
    <row r="23" spans="2:19" ht="15.75" thickBot="1" x14ac:dyDescent="0.3">
      <c r="B23" s="10" t="s">
        <v>30</v>
      </c>
      <c r="C23" s="11">
        <v>2019</v>
      </c>
      <c r="D23">
        <v>169.1</v>
      </c>
      <c r="E23">
        <v>149.9</v>
      </c>
      <c r="F23">
        <v>18</v>
      </c>
      <c r="G23">
        <v>1.3</v>
      </c>
      <c r="H23">
        <v>0</v>
      </c>
      <c r="I23">
        <v>0</v>
      </c>
      <c r="J23">
        <v>0</v>
      </c>
      <c r="K23">
        <v>105</v>
      </c>
      <c r="L23">
        <v>51.9</v>
      </c>
      <c r="M23">
        <v>41</v>
      </c>
      <c r="N23">
        <v>0.5</v>
      </c>
      <c r="O23">
        <v>2.6</v>
      </c>
      <c r="P23">
        <v>136</v>
      </c>
      <c r="Q23">
        <v>0</v>
      </c>
      <c r="R23">
        <v>29.6</v>
      </c>
      <c r="S23">
        <v>0.4</v>
      </c>
    </row>
    <row r="24" spans="2:19" ht="15.75" thickBot="1" x14ac:dyDescent="0.3">
      <c r="B24" s="8" t="s">
        <v>31</v>
      </c>
      <c r="C24" s="7">
        <v>1999</v>
      </c>
      <c r="D24">
        <v>304.3</v>
      </c>
      <c r="E24">
        <v>125.7</v>
      </c>
      <c r="F24">
        <v>122.3</v>
      </c>
      <c r="G24">
        <v>40.299999999999997</v>
      </c>
      <c r="H24">
        <v>14.3</v>
      </c>
      <c r="I24">
        <v>1.7</v>
      </c>
      <c r="J24">
        <v>0</v>
      </c>
      <c r="K24">
        <v>205.7</v>
      </c>
      <c r="L24">
        <v>128.30000000000001</v>
      </c>
      <c r="M24">
        <v>55.3</v>
      </c>
      <c r="N24">
        <v>0</v>
      </c>
      <c r="O24">
        <v>5.7</v>
      </c>
      <c r="P24">
        <v>172</v>
      </c>
      <c r="Q24">
        <v>37</v>
      </c>
      <c r="R24">
        <v>89.7</v>
      </c>
      <c r="S24">
        <v>0</v>
      </c>
    </row>
    <row r="25" spans="2:19" ht="15.75" thickBot="1" x14ac:dyDescent="0.3">
      <c r="B25" s="6" t="s">
        <v>31</v>
      </c>
      <c r="C25" s="9">
        <v>2009</v>
      </c>
      <c r="D25">
        <v>295</v>
      </c>
      <c r="E25">
        <v>199.3</v>
      </c>
      <c r="F25">
        <v>92.7</v>
      </c>
      <c r="G25">
        <v>2.2999999999999998</v>
      </c>
      <c r="H25">
        <v>0.7</v>
      </c>
      <c r="I25">
        <v>0</v>
      </c>
      <c r="J25">
        <v>0</v>
      </c>
      <c r="K25">
        <v>118.7</v>
      </c>
      <c r="L25">
        <v>72</v>
      </c>
      <c r="M25">
        <v>44</v>
      </c>
      <c r="N25">
        <v>0</v>
      </c>
      <c r="O25">
        <v>9</v>
      </c>
      <c r="P25">
        <v>179.7</v>
      </c>
      <c r="Q25">
        <v>2.2999999999999998</v>
      </c>
      <c r="R25">
        <v>104</v>
      </c>
      <c r="S25">
        <v>0</v>
      </c>
    </row>
    <row r="26" spans="2:19" ht="15.75" thickBot="1" x14ac:dyDescent="0.3">
      <c r="B26" s="10" t="s">
        <v>31</v>
      </c>
      <c r="C26" s="11">
        <v>2019</v>
      </c>
      <c r="D26">
        <v>273.3</v>
      </c>
      <c r="E26">
        <v>208.3</v>
      </c>
      <c r="F26">
        <v>64</v>
      </c>
      <c r="G26">
        <v>1</v>
      </c>
      <c r="H26">
        <v>0</v>
      </c>
      <c r="I26">
        <v>0</v>
      </c>
      <c r="J26">
        <v>0</v>
      </c>
      <c r="K26">
        <v>104</v>
      </c>
      <c r="L26">
        <v>63</v>
      </c>
      <c r="M26">
        <v>43.3</v>
      </c>
      <c r="N26">
        <v>0.3</v>
      </c>
      <c r="O26">
        <v>1.3</v>
      </c>
      <c r="P26">
        <v>223.3</v>
      </c>
      <c r="Q26">
        <v>0</v>
      </c>
      <c r="R26">
        <v>48.3</v>
      </c>
      <c r="S26">
        <v>0</v>
      </c>
    </row>
    <row r="27" spans="2:19" ht="15.75" thickBot="1" x14ac:dyDescent="0.3">
      <c r="B27" s="6" t="s">
        <v>32</v>
      </c>
      <c r="C27" s="7">
        <v>1999</v>
      </c>
      <c r="D27">
        <v>365</v>
      </c>
      <c r="E27">
        <v>116</v>
      </c>
      <c r="F27">
        <v>188</v>
      </c>
      <c r="G27">
        <v>37</v>
      </c>
      <c r="H27">
        <v>22</v>
      </c>
      <c r="I27">
        <v>2</v>
      </c>
      <c r="J27">
        <v>0</v>
      </c>
      <c r="K27">
        <v>210</v>
      </c>
      <c r="L27">
        <v>129</v>
      </c>
      <c r="M27">
        <v>60</v>
      </c>
      <c r="N27">
        <v>1</v>
      </c>
      <c r="O27">
        <v>65</v>
      </c>
      <c r="P27">
        <v>116</v>
      </c>
      <c r="Q27">
        <v>16</v>
      </c>
      <c r="R27">
        <v>167</v>
      </c>
      <c r="S27">
        <v>0</v>
      </c>
    </row>
    <row r="28" spans="2:19" ht="15.75" thickBot="1" x14ac:dyDescent="0.3">
      <c r="B28" s="8" t="s">
        <v>32</v>
      </c>
      <c r="C28" s="9">
        <v>2009</v>
      </c>
      <c r="D28">
        <v>365</v>
      </c>
      <c r="E28">
        <v>193</v>
      </c>
      <c r="F28">
        <v>163</v>
      </c>
      <c r="G28">
        <v>9</v>
      </c>
      <c r="H28">
        <v>0</v>
      </c>
      <c r="I28">
        <v>0</v>
      </c>
      <c r="J28">
        <v>0</v>
      </c>
      <c r="K28">
        <v>150</v>
      </c>
      <c r="L28">
        <v>71</v>
      </c>
      <c r="M28">
        <v>49</v>
      </c>
      <c r="N28">
        <v>3</v>
      </c>
      <c r="O28">
        <v>72</v>
      </c>
      <c r="P28">
        <v>111</v>
      </c>
      <c r="Q28">
        <v>3</v>
      </c>
      <c r="R28">
        <v>176</v>
      </c>
      <c r="S28">
        <v>0</v>
      </c>
    </row>
    <row r="29" spans="2:19" ht="15.75" thickBot="1" x14ac:dyDescent="0.3">
      <c r="B29" s="10" t="s">
        <v>32</v>
      </c>
      <c r="C29" s="11">
        <v>2019</v>
      </c>
      <c r="D29">
        <v>274</v>
      </c>
      <c r="E29">
        <v>171</v>
      </c>
      <c r="F29">
        <v>98</v>
      </c>
      <c r="G29">
        <v>4</v>
      </c>
      <c r="H29">
        <v>1</v>
      </c>
      <c r="I29">
        <v>0</v>
      </c>
      <c r="J29">
        <v>0</v>
      </c>
      <c r="K29">
        <v>157</v>
      </c>
      <c r="L29">
        <v>77</v>
      </c>
      <c r="M29">
        <v>47</v>
      </c>
      <c r="N29">
        <v>1</v>
      </c>
      <c r="O29">
        <v>21</v>
      </c>
      <c r="P29">
        <v>182</v>
      </c>
      <c r="Q29">
        <v>0</v>
      </c>
      <c r="R29">
        <v>70</v>
      </c>
      <c r="S29">
        <v>0</v>
      </c>
    </row>
    <row r="30" spans="2:19" ht="15.75" thickBot="1" x14ac:dyDescent="0.3">
      <c r="B30" s="6" t="s">
        <v>33</v>
      </c>
      <c r="C30" s="7">
        <v>1999</v>
      </c>
      <c r="D30">
        <v>316.8</v>
      </c>
      <c r="E30">
        <v>216.5</v>
      </c>
      <c r="F30">
        <v>80.5</v>
      </c>
      <c r="G30">
        <v>17.8</v>
      </c>
      <c r="H30">
        <v>2</v>
      </c>
      <c r="I30">
        <v>0</v>
      </c>
      <c r="J30">
        <v>0</v>
      </c>
      <c r="K30">
        <v>140.1</v>
      </c>
      <c r="L30">
        <v>72.5</v>
      </c>
      <c r="M30">
        <v>38.1</v>
      </c>
      <c r="N30">
        <v>0.9</v>
      </c>
      <c r="O30">
        <v>5</v>
      </c>
      <c r="P30">
        <v>180.9</v>
      </c>
      <c r="Q30">
        <v>54</v>
      </c>
      <c r="R30">
        <v>53.2</v>
      </c>
      <c r="S30">
        <v>22.8</v>
      </c>
    </row>
    <row r="31" spans="2:19" ht="15.75" thickBot="1" x14ac:dyDescent="0.3">
      <c r="B31" s="6" t="s">
        <v>33</v>
      </c>
      <c r="C31" s="9">
        <v>2009</v>
      </c>
      <c r="D31">
        <v>351.6</v>
      </c>
      <c r="E31">
        <v>286.5</v>
      </c>
      <c r="F31">
        <v>63.4</v>
      </c>
      <c r="G31">
        <v>1.7</v>
      </c>
      <c r="H31">
        <v>0</v>
      </c>
      <c r="I31">
        <v>0</v>
      </c>
      <c r="J31">
        <v>0</v>
      </c>
      <c r="K31">
        <v>104.8</v>
      </c>
      <c r="L31">
        <v>54.2</v>
      </c>
      <c r="M31">
        <v>37.5</v>
      </c>
      <c r="N31">
        <v>0</v>
      </c>
      <c r="O31">
        <v>0.5</v>
      </c>
      <c r="P31">
        <v>195.1</v>
      </c>
      <c r="Q31">
        <v>14.6</v>
      </c>
      <c r="R31">
        <v>132</v>
      </c>
      <c r="S31">
        <v>9.4</v>
      </c>
    </row>
    <row r="32" spans="2:19" ht="15.75" thickBot="1" x14ac:dyDescent="0.3">
      <c r="B32" s="10" t="s">
        <v>33</v>
      </c>
      <c r="C32" s="11">
        <v>2019</v>
      </c>
      <c r="D32">
        <v>179.8</v>
      </c>
      <c r="E32">
        <v>153.4</v>
      </c>
      <c r="F32">
        <v>25.9</v>
      </c>
      <c r="G32">
        <v>0.5</v>
      </c>
      <c r="H32">
        <v>0</v>
      </c>
      <c r="I32">
        <v>0</v>
      </c>
      <c r="J32">
        <v>0</v>
      </c>
      <c r="K32">
        <v>92.2</v>
      </c>
      <c r="L32">
        <v>55.3</v>
      </c>
      <c r="M32">
        <v>38.299999999999997</v>
      </c>
      <c r="N32">
        <v>0.2</v>
      </c>
      <c r="O32">
        <v>0.5</v>
      </c>
      <c r="P32">
        <v>127.8</v>
      </c>
      <c r="Q32">
        <v>1.8</v>
      </c>
      <c r="R32">
        <v>44.5</v>
      </c>
      <c r="S32">
        <v>5.0999999999999996</v>
      </c>
    </row>
    <row r="33" spans="2:19" ht="15.75" thickBot="1" x14ac:dyDescent="0.3">
      <c r="B33" s="8" t="s">
        <v>34</v>
      </c>
      <c r="C33" s="7">
        <v>1999</v>
      </c>
      <c r="D33">
        <v>209</v>
      </c>
      <c r="E33">
        <v>105.5</v>
      </c>
      <c r="F33">
        <v>69.8</v>
      </c>
      <c r="G33">
        <v>22</v>
      </c>
      <c r="H33">
        <v>9.5</v>
      </c>
      <c r="I33">
        <v>2.2999999999999998</v>
      </c>
      <c r="J33">
        <v>0</v>
      </c>
      <c r="K33">
        <v>164.4</v>
      </c>
      <c r="L33">
        <v>110.2</v>
      </c>
      <c r="M33">
        <v>50.6</v>
      </c>
      <c r="N33">
        <v>0.3</v>
      </c>
      <c r="O33">
        <v>10.7</v>
      </c>
      <c r="P33">
        <v>98.9</v>
      </c>
      <c r="Q33">
        <v>36.5</v>
      </c>
      <c r="R33">
        <v>53.1</v>
      </c>
      <c r="S33">
        <v>9.5</v>
      </c>
    </row>
    <row r="34" spans="2:19" ht="15.75" thickBot="1" x14ac:dyDescent="0.3">
      <c r="B34" s="8" t="s">
        <v>34</v>
      </c>
      <c r="C34" s="9">
        <v>2009</v>
      </c>
      <c r="D34">
        <v>292.60000000000002</v>
      </c>
      <c r="E34">
        <v>190.4</v>
      </c>
      <c r="F34">
        <v>99.6</v>
      </c>
      <c r="G34">
        <v>2.2000000000000002</v>
      </c>
      <c r="H34">
        <v>0.3</v>
      </c>
      <c r="I34">
        <v>0</v>
      </c>
      <c r="J34">
        <v>0</v>
      </c>
      <c r="K34">
        <v>126.6</v>
      </c>
      <c r="L34">
        <v>63.6</v>
      </c>
      <c r="M34">
        <v>42.7</v>
      </c>
      <c r="N34">
        <v>0</v>
      </c>
      <c r="O34">
        <v>4.5</v>
      </c>
      <c r="P34">
        <v>99</v>
      </c>
      <c r="Q34">
        <v>5.7</v>
      </c>
      <c r="R34">
        <v>182</v>
      </c>
      <c r="S34">
        <v>1.4</v>
      </c>
    </row>
    <row r="35" spans="2:19" ht="15.75" thickBot="1" x14ac:dyDescent="0.3">
      <c r="B35" s="10" t="s">
        <v>34</v>
      </c>
      <c r="C35" s="11">
        <v>2019</v>
      </c>
      <c r="D35">
        <v>223.8</v>
      </c>
      <c r="E35">
        <v>168.4</v>
      </c>
      <c r="F35">
        <v>54.1</v>
      </c>
      <c r="G35">
        <v>1.1000000000000001</v>
      </c>
      <c r="H35">
        <v>0.1</v>
      </c>
      <c r="I35">
        <v>0</v>
      </c>
      <c r="J35">
        <v>0</v>
      </c>
      <c r="K35">
        <v>102.4</v>
      </c>
      <c r="L35">
        <v>58.8</v>
      </c>
      <c r="M35">
        <v>40.4</v>
      </c>
      <c r="N35">
        <v>0.1</v>
      </c>
      <c r="O35">
        <v>1</v>
      </c>
      <c r="P35">
        <v>117.9</v>
      </c>
      <c r="Q35">
        <v>1.5</v>
      </c>
      <c r="R35">
        <v>103.3</v>
      </c>
      <c r="S35">
        <v>0</v>
      </c>
    </row>
    <row r="36" spans="2:19" ht="15.75" thickBot="1" x14ac:dyDescent="0.3">
      <c r="B36" s="8" t="s">
        <v>35</v>
      </c>
      <c r="C36" s="7">
        <v>1999</v>
      </c>
      <c r="D36">
        <v>283.3</v>
      </c>
      <c r="E36">
        <v>259.3</v>
      </c>
      <c r="F36">
        <v>9.8000000000000007</v>
      </c>
      <c r="G36">
        <v>5.3</v>
      </c>
      <c r="H36">
        <v>9</v>
      </c>
      <c r="I36">
        <v>0</v>
      </c>
      <c r="J36">
        <v>0</v>
      </c>
      <c r="K36">
        <v>124.5</v>
      </c>
      <c r="L36">
        <v>61</v>
      </c>
      <c r="M36">
        <v>16.3</v>
      </c>
      <c r="N36">
        <v>2.2999999999999998</v>
      </c>
      <c r="O36">
        <v>1.3</v>
      </c>
      <c r="P36">
        <v>55.5</v>
      </c>
      <c r="Q36">
        <v>94</v>
      </c>
      <c r="R36">
        <v>37.5</v>
      </c>
      <c r="S36">
        <v>92.8</v>
      </c>
    </row>
    <row r="37" spans="2:19" ht="15.75" thickBot="1" x14ac:dyDescent="0.3">
      <c r="B37" s="6" t="s">
        <v>35</v>
      </c>
      <c r="C37" s="9">
        <v>2009</v>
      </c>
      <c r="D37">
        <v>362.7</v>
      </c>
      <c r="E37">
        <v>231</v>
      </c>
      <c r="F37">
        <v>14.3</v>
      </c>
      <c r="G37">
        <v>26.7</v>
      </c>
      <c r="H37">
        <v>83.3</v>
      </c>
      <c r="I37">
        <v>6.7</v>
      </c>
      <c r="J37">
        <v>0.7</v>
      </c>
      <c r="K37">
        <v>230.3</v>
      </c>
      <c r="L37">
        <v>91.3</v>
      </c>
      <c r="M37">
        <v>82</v>
      </c>
      <c r="N37">
        <v>0</v>
      </c>
      <c r="O37">
        <v>1</v>
      </c>
      <c r="P37">
        <v>37.299999999999997</v>
      </c>
      <c r="Q37">
        <v>124.3</v>
      </c>
      <c r="R37">
        <v>193.3</v>
      </c>
      <c r="S37">
        <v>6.7</v>
      </c>
    </row>
    <row r="38" spans="2:19" ht="15.75" thickBot="1" x14ac:dyDescent="0.3">
      <c r="B38" s="10" t="s">
        <v>35</v>
      </c>
      <c r="C38" s="11">
        <v>2019</v>
      </c>
      <c r="D38">
        <v>192.3</v>
      </c>
      <c r="E38">
        <v>187.8</v>
      </c>
      <c r="F38">
        <v>4.5</v>
      </c>
      <c r="G38">
        <v>0</v>
      </c>
      <c r="H38">
        <v>0</v>
      </c>
      <c r="I38">
        <v>0</v>
      </c>
      <c r="J38">
        <v>0</v>
      </c>
      <c r="K38">
        <v>72</v>
      </c>
      <c r="L38">
        <v>32.299999999999997</v>
      </c>
      <c r="M38">
        <v>20</v>
      </c>
      <c r="N38">
        <v>0.3</v>
      </c>
      <c r="O38">
        <v>19.3</v>
      </c>
      <c r="P38">
        <v>37.5</v>
      </c>
      <c r="Q38">
        <v>22.5</v>
      </c>
      <c r="R38">
        <v>112.5</v>
      </c>
      <c r="S38">
        <v>0.3</v>
      </c>
    </row>
    <row r="39" spans="2:19" ht="15.75" thickBot="1" x14ac:dyDescent="0.3">
      <c r="B39" s="6" t="s">
        <v>36</v>
      </c>
      <c r="C39" s="7">
        <v>1999</v>
      </c>
      <c r="D39">
        <v>220.8</v>
      </c>
      <c r="E39">
        <v>178.8</v>
      </c>
      <c r="F39">
        <v>31.7</v>
      </c>
      <c r="G39">
        <v>6.9</v>
      </c>
      <c r="H39">
        <v>3.2</v>
      </c>
      <c r="I39">
        <v>0.2</v>
      </c>
      <c r="J39">
        <v>0.1</v>
      </c>
      <c r="K39">
        <v>130.5</v>
      </c>
      <c r="L39">
        <v>54</v>
      </c>
      <c r="M39">
        <v>26.9</v>
      </c>
      <c r="N39">
        <v>31.6</v>
      </c>
      <c r="O39">
        <v>15.6</v>
      </c>
      <c r="P39">
        <v>18.399999999999999</v>
      </c>
      <c r="Q39">
        <v>28.7</v>
      </c>
      <c r="R39">
        <v>43.9</v>
      </c>
      <c r="S39">
        <v>82.6</v>
      </c>
    </row>
    <row r="40" spans="2:19" ht="15.75" thickBot="1" x14ac:dyDescent="0.3">
      <c r="B40" s="8" t="s">
        <v>36</v>
      </c>
      <c r="C40" s="9">
        <v>2009</v>
      </c>
      <c r="D40">
        <v>308</v>
      </c>
      <c r="E40">
        <v>266.3</v>
      </c>
      <c r="F40">
        <v>39.4</v>
      </c>
      <c r="G40">
        <v>2.2999999999999998</v>
      </c>
      <c r="H40">
        <v>0.1</v>
      </c>
      <c r="I40">
        <v>0</v>
      </c>
      <c r="J40">
        <v>0</v>
      </c>
      <c r="K40">
        <v>96</v>
      </c>
      <c r="L40">
        <v>48</v>
      </c>
      <c r="M40">
        <v>24.4</v>
      </c>
      <c r="N40">
        <v>1.2</v>
      </c>
      <c r="O40">
        <v>1.7</v>
      </c>
      <c r="P40">
        <v>32.5</v>
      </c>
      <c r="Q40">
        <v>26.9</v>
      </c>
      <c r="R40">
        <v>200.1</v>
      </c>
      <c r="S40">
        <v>45.6</v>
      </c>
    </row>
    <row r="41" spans="2:19" ht="15.75" thickBot="1" x14ac:dyDescent="0.3">
      <c r="B41" s="10" t="s">
        <v>36</v>
      </c>
      <c r="C41" s="11">
        <v>2019</v>
      </c>
      <c r="D41">
        <v>198.1</v>
      </c>
      <c r="E41">
        <v>182.8</v>
      </c>
      <c r="F41">
        <v>14.8</v>
      </c>
      <c r="G41">
        <v>0.5</v>
      </c>
      <c r="H41">
        <v>0.1</v>
      </c>
      <c r="I41">
        <v>0</v>
      </c>
      <c r="J41">
        <v>0</v>
      </c>
      <c r="K41">
        <v>78.7</v>
      </c>
      <c r="L41">
        <v>42.7</v>
      </c>
      <c r="M41">
        <v>22.3</v>
      </c>
      <c r="N41">
        <v>0.1</v>
      </c>
      <c r="O41">
        <v>0.1</v>
      </c>
      <c r="P41">
        <v>27.1</v>
      </c>
      <c r="Q41">
        <v>13.4</v>
      </c>
      <c r="R41">
        <v>147.5</v>
      </c>
      <c r="S41">
        <v>10</v>
      </c>
    </row>
    <row r="42" spans="2:19" ht="15.75" thickBot="1" x14ac:dyDescent="0.3">
      <c r="B42" s="6" t="s">
        <v>37</v>
      </c>
      <c r="C42" s="7">
        <v>1999</v>
      </c>
      <c r="D42">
        <v>329.6</v>
      </c>
      <c r="E42">
        <v>220.5</v>
      </c>
      <c r="F42">
        <v>74.599999999999994</v>
      </c>
      <c r="G42">
        <v>29.3</v>
      </c>
      <c r="H42">
        <v>5.2</v>
      </c>
      <c r="I42">
        <v>0.1</v>
      </c>
      <c r="J42">
        <v>0</v>
      </c>
      <c r="K42">
        <v>165.9</v>
      </c>
      <c r="L42">
        <v>89.3</v>
      </c>
      <c r="M42">
        <v>40.5</v>
      </c>
      <c r="N42">
        <v>4.8</v>
      </c>
      <c r="O42">
        <v>6.3</v>
      </c>
      <c r="P42">
        <v>195.5</v>
      </c>
      <c r="Q42">
        <v>85.6</v>
      </c>
      <c r="R42">
        <v>18.2</v>
      </c>
      <c r="S42">
        <v>19.2</v>
      </c>
    </row>
    <row r="43" spans="2:19" ht="15.75" thickBot="1" x14ac:dyDescent="0.3">
      <c r="B43" s="8" t="s">
        <v>37</v>
      </c>
      <c r="C43" s="9">
        <v>2009</v>
      </c>
      <c r="D43">
        <v>331.8</v>
      </c>
      <c r="E43">
        <v>252.4</v>
      </c>
      <c r="F43">
        <v>75</v>
      </c>
      <c r="G43">
        <v>3.9</v>
      </c>
      <c r="H43">
        <v>0.5</v>
      </c>
      <c r="I43">
        <v>0</v>
      </c>
      <c r="J43">
        <v>0</v>
      </c>
      <c r="K43">
        <v>112.2</v>
      </c>
      <c r="L43">
        <v>60.7</v>
      </c>
      <c r="M43">
        <v>35.9</v>
      </c>
      <c r="N43">
        <v>0.7</v>
      </c>
      <c r="O43">
        <v>4.5999999999999996</v>
      </c>
      <c r="P43">
        <v>196.2</v>
      </c>
      <c r="Q43">
        <v>32.9</v>
      </c>
      <c r="R43">
        <v>93.7</v>
      </c>
      <c r="S43">
        <v>3.7</v>
      </c>
    </row>
    <row r="44" spans="2:19" ht="15.75" thickBot="1" x14ac:dyDescent="0.3">
      <c r="B44" s="10" t="s">
        <v>37</v>
      </c>
      <c r="C44" s="11">
        <v>2019</v>
      </c>
      <c r="D44">
        <v>222.2</v>
      </c>
      <c r="E44">
        <v>173.7</v>
      </c>
      <c r="F44">
        <v>47.3</v>
      </c>
      <c r="G44">
        <v>1</v>
      </c>
      <c r="H44">
        <v>0.1</v>
      </c>
      <c r="I44">
        <v>0</v>
      </c>
      <c r="J44">
        <v>0</v>
      </c>
      <c r="K44">
        <v>96.7</v>
      </c>
      <c r="L44">
        <v>52.6</v>
      </c>
      <c r="M44">
        <v>37.1</v>
      </c>
      <c r="N44">
        <v>0.1</v>
      </c>
      <c r="O44">
        <v>2.8</v>
      </c>
      <c r="P44">
        <v>131.6</v>
      </c>
      <c r="Q44">
        <v>28.3</v>
      </c>
      <c r="R44">
        <v>59.1</v>
      </c>
      <c r="S44">
        <v>0.3</v>
      </c>
    </row>
    <row r="45" spans="2:19" ht="15.75" thickBot="1" x14ac:dyDescent="0.3">
      <c r="B45" s="8" t="s">
        <v>38</v>
      </c>
      <c r="C45" s="7">
        <v>1999</v>
      </c>
      <c r="D45">
        <v>264.7</v>
      </c>
      <c r="E45">
        <v>156.69999999999999</v>
      </c>
      <c r="F45">
        <v>70.900000000000006</v>
      </c>
      <c r="G45">
        <v>29.9</v>
      </c>
      <c r="H45">
        <v>7.2</v>
      </c>
      <c r="I45">
        <v>0.1</v>
      </c>
      <c r="J45">
        <v>0</v>
      </c>
      <c r="K45">
        <v>160.1</v>
      </c>
      <c r="L45">
        <v>100.9</v>
      </c>
      <c r="M45">
        <v>43.3</v>
      </c>
      <c r="N45">
        <v>4.8</v>
      </c>
      <c r="O45">
        <v>13.2</v>
      </c>
      <c r="P45">
        <v>86.1</v>
      </c>
      <c r="Q45">
        <v>126.7</v>
      </c>
      <c r="R45">
        <v>27.9</v>
      </c>
      <c r="S45">
        <v>5.9</v>
      </c>
    </row>
    <row r="46" spans="2:19" ht="15.75" thickBot="1" x14ac:dyDescent="0.3">
      <c r="B46" s="8" t="s">
        <v>38</v>
      </c>
      <c r="C46" s="9">
        <v>2009</v>
      </c>
      <c r="D46">
        <v>256.8</v>
      </c>
      <c r="E46">
        <v>177</v>
      </c>
      <c r="F46">
        <v>75</v>
      </c>
      <c r="G46">
        <v>4.5999999999999996</v>
      </c>
      <c r="H46">
        <v>0.1</v>
      </c>
      <c r="I46">
        <v>0</v>
      </c>
      <c r="J46">
        <v>0</v>
      </c>
      <c r="K46">
        <v>112.7</v>
      </c>
      <c r="L46">
        <v>65.900000000000006</v>
      </c>
      <c r="M46">
        <v>38.9</v>
      </c>
      <c r="N46">
        <v>0.8</v>
      </c>
      <c r="O46">
        <v>3.7</v>
      </c>
      <c r="P46">
        <v>89.6</v>
      </c>
      <c r="Q46">
        <v>69.2</v>
      </c>
      <c r="R46">
        <v>91.4</v>
      </c>
      <c r="S46">
        <v>2.1</v>
      </c>
    </row>
    <row r="47" spans="2:19" ht="15.75" thickBot="1" x14ac:dyDescent="0.3">
      <c r="B47" s="10" t="s">
        <v>38</v>
      </c>
      <c r="C47" s="11">
        <v>2019</v>
      </c>
      <c r="D47">
        <v>225.8</v>
      </c>
      <c r="E47">
        <v>190.3</v>
      </c>
      <c r="F47">
        <v>35.1</v>
      </c>
      <c r="G47">
        <v>0.4</v>
      </c>
      <c r="H47">
        <v>0</v>
      </c>
      <c r="I47">
        <v>0</v>
      </c>
      <c r="J47">
        <v>0</v>
      </c>
      <c r="K47">
        <v>84.7</v>
      </c>
      <c r="L47">
        <v>51.3</v>
      </c>
      <c r="M47">
        <v>35.9</v>
      </c>
      <c r="N47">
        <v>1.1000000000000001</v>
      </c>
      <c r="O47">
        <v>0.1</v>
      </c>
      <c r="P47">
        <v>157.1</v>
      </c>
      <c r="Q47">
        <v>13.8</v>
      </c>
      <c r="R47">
        <v>53.4</v>
      </c>
      <c r="S47">
        <v>0.4</v>
      </c>
    </row>
    <row r="48" spans="2:19" ht="15.75" thickBot="1" x14ac:dyDescent="0.3">
      <c r="B48" s="6" t="s">
        <v>39</v>
      </c>
      <c r="C48" s="7">
        <v>1999</v>
      </c>
      <c r="D48">
        <v>245.4</v>
      </c>
      <c r="E48">
        <v>174.1</v>
      </c>
      <c r="F48">
        <v>56.5</v>
      </c>
      <c r="G48">
        <v>11.7</v>
      </c>
      <c r="H48">
        <v>3.1</v>
      </c>
      <c r="I48">
        <v>0</v>
      </c>
      <c r="J48">
        <v>0</v>
      </c>
      <c r="K48">
        <v>127</v>
      </c>
      <c r="L48">
        <v>74.599999999999994</v>
      </c>
      <c r="M48">
        <v>37.4</v>
      </c>
      <c r="N48">
        <v>6.9</v>
      </c>
      <c r="O48">
        <v>0</v>
      </c>
      <c r="P48">
        <v>92</v>
      </c>
      <c r="Q48">
        <v>62.4</v>
      </c>
      <c r="R48">
        <v>44.4</v>
      </c>
      <c r="S48">
        <v>39.799999999999997</v>
      </c>
    </row>
    <row r="49" spans="2:19" ht="15.75" thickBot="1" x14ac:dyDescent="0.3">
      <c r="B49" s="8" t="s">
        <v>39</v>
      </c>
      <c r="C49" s="9">
        <v>2009</v>
      </c>
      <c r="D49">
        <v>266.8</v>
      </c>
      <c r="E49">
        <v>198.3</v>
      </c>
      <c r="F49">
        <v>67</v>
      </c>
      <c r="G49">
        <v>1.5</v>
      </c>
      <c r="H49">
        <v>0.1</v>
      </c>
      <c r="I49">
        <v>0</v>
      </c>
      <c r="J49">
        <v>0</v>
      </c>
      <c r="K49">
        <v>106.3</v>
      </c>
      <c r="L49">
        <v>58.7</v>
      </c>
      <c r="M49">
        <v>36.9</v>
      </c>
      <c r="N49">
        <v>0</v>
      </c>
      <c r="O49">
        <v>0.9</v>
      </c>
      <c r="P49">
        <v>91.7</v>
      </c>
      <c r="Q49">
        <v>5.3</v>
      </c>
      <c r="R49">
        <v>133.19999999999999</v>
      </c>
      <c r="S49">
        <v>35.799999999999997</v>
      </c>
    </row>
    <row r="50" spans="2:19" ht="15.75" thickBot="1" x14ac:dyDescent="0.3">
      <c r="B50" s="10" t="s">
        <v>39</v>
      </c>
      <c r="C50" s="11">
        <v>2019</v>
      </c>
      <c r="D50">
        <v>223.3</v>
      </c>
      <c r="E50">
        <v>182.2</v>
      </c>
      <c r="F50">
        <v>40.9</v>
      </c>
      <c r="G50">
        <v>0.1</v>
      </c>
      <c r="H50">
        <v>0</v>
      </c>
      <c r="I50">
        <v>0.1</v>
      </c>
      <c r="J50">
        <v>0</v>
      </c>
      <c r="K50">
        <v>95.5</v>
      </c>
      <c r="L50">
        <v>54.3</v>
      </c>
      <c r="M50">
        <v>35.299999999999997</v>
      </c>
      <c r="N50">
        <v>0.1</v>
      </c>
      <c r="O50">
        <v>2.1</v>
      </c>
      <c r="P50">
        <v>97.4</v>
      </c>
      <c r="Q50">
        <v>0.7</v>
      </c>
      <c r="R50">
        <v>113.1</v>
      </c>
      <c r="S50">
        <v>9.8000000000000007</v>
      </c>
    </row>
    <row r="51" spans="2:19" ht="15.75" thickBot="1" x14ac:dyDescent="0.3">
      <c r="B51" s="6" t="s">
        <v>40</v>
      </c>
      <c r="C51" s="7">
        <v>1999</v>
      </c>
      <c r="D51">
        <v>202.6</v>
      </c>
      <c r="E51">
        <v>130.69999999999999</v>
      </c>
      <c r="F51">
        <v>64.2</v>
      </c>
      <c r="G51">
        <v>7</v>
      </c>
      <c r="H51">
        <v>0.7</v>
      </c>
      <c r="I51">
        <v>0</v>
      </c>
      <c r="J51">
        <v>0</v>
      </c>
      <c r="K51">
        <v>120.7</v>
      </c>
      <c r="L51">
        <v>73.099999999999994</v>
      </c>
      <c r="M51">
        <v>38.200000000000003</v>
      </c>
      <c r="N51">
        <v>4.5</v>
      </c>
      <c r="O51">
        <v>13.1</v>
      </c>
      <c r="P51">
        <v>83.7</v>
      </c>
      <c r="Q51">
        <v>22.4</v>
      </c>
      <c r="R51">
        <v>38.200000000000003</v>
      </c>
      <c r="S51">
        <v>40.700000000000003</v>
      </c>
    </row>
    <row r="52" spans="2:19" ht="15.75" thickBot="1" x14ac:dyDescent="0.3">
      <c r="B52" s="8" t="s">
        <v>40</v>
      </c>
      <c r="C52" s="9">
        <v>2009</v>
      </c>
      <c r="D52">
        <v>283.10000000000002</v>
      </c>
      <c r="E52">
        <v>244</v>
      </c>
      <c r="F52">
        <v>37.799999999999997</v>
      </c>
      <c r="G52">
        <v>1.2</v>
      </c>
      <c r="H52">
        <v>0.1</v>
      </c>
      <c r="I52">
        <v>0</v>
      </c>
      <c r="J52">
        <v>0</v>
      </c>
      <c r="K52">
        <v>96.7</v>
      </c>
      <c r="L52">
        <v>48.5</v>
      </c>
      <c r="M52">
        <v>30.1</v>
      </c>
      <c r="N52">
        <v>0</v>
      </c>
      <c r="O52">
        <v>5.9</v>
      </c>
      <c r="P52">
        <v>167.6</v>
      </c>
      <c r="Q52">
        <v>4.9000000000000004</v>
      </c>
      <c r="R52">
        <v>45</v>
      </c>
      <c r="S52">
        <v>59.6</v>
      </c>
    </row>
    <row r="53" spans="2:19" ht="15.75" thickBot="1" x14ac:dyDescent="0.3">
      <c r="B53" s="10" t="s">
        <v>40</v>
      </c>
      <c r="C53" s="11">
        <v>2019</v>
      </c>
      <c r="D53">
        <v>173.7</v>
      </c>
      <c r="E53">
        <v>153.5</v>
      </c>
      <c r="F53">
        <v>19.899999999999999</v>
      </c>
      <c r="G53">
        <v>0.2</v>
      </c>
      <c r="H53">
        <v>0.1</v>
      </c>
      <c r="I53">
        <v>0</v>
      </c>
      <c r="J53">
        <v>0</v>
      </c>
      <c r="K53">
        <v>93.3</v>
      </c>
      <c r="L53">
        <v>48</v>
      </c>
      <c r="M53">
        <v>34.1</v>
      </c>
      <c r="N53">
        <v>0</v>
      </c>
      <c r="O53">
        <v>1.3</v>
      </c>
      <c r="P53">
        <v>105.4</v>
      </c>
      <c r="Q53">
        <v>0</v>
      </c>
      <c r="R53">
        <v>36.799999999999997</v>
      </c>
      <c r="S53">
        <v>30.2</v>
      </c>
    </row>
    <row r="54" spans="2:19" ht="15.75" thickBot="1" x14ac:dyDescent="0.3">
      <c r="B54" s="6" t="s">
        <v>41</v>
      </c>
      <c r="C54" s="7">
        <v>1999</v>
      </c>
      <c r="D54">
        <v>248.9</v>
      </c>
      <c r="E54">
        <v>129.5</v>
      </c>
      <c r="F54">
        <v>80.099999999999994</v>
      </c>
      <c r="G54">
        <v>31.4</v>
      </c>
      <c r="H54">
        <v>7.6</v>
      </c>
      <c r="I54">
        <v>0.4</v>
      </c>
      <c r="J54">
        <v>0</v>
      </c>
      <c r="K54">
        <v>161.4</v>
      </c>
      <c r="L54">
        <v>104.6</v>
      </c>
      <c r="M54">
        <v>49</v>
      </c>
      <c r="N54">
        <v>3.9</v>
      </c>
      <c r="O54">
        <v>21.8</v>
      </c>
      <c r="P54">
        <v>147.1</v>
      </c>
      <c r="Q54">
        <v>32.5</v>
      </c>
      <c r="R54">
        <v>31.6</v>
      </c>
      <c r="S54">
        <v>12.1</v>
      </c>
    </row>
    <row r="55" spans="2:19" ht="15.75" thickBot="1" x14ac:dyDescent="0.3">
      <c r="B55" s="8" t="s">
        <v>41</v>
      </c>
      <c r="C55" s="9">
        <v>2009</v>
      </c>
      <c r="D55">
        <v>298.5</v>
      </c>
      <c r="E55">
        <v>231.7</v>
      </c>
      <c r="F55">
        <v>65.2</v>
      </c>
      <c r="G55">
        <v>1.6</v>
      </c>
      <c r="H55">
        <v>0</v>
      </c>
      <c r="I55">
        <v>0</v>
      </c>
      <c r="J55">
        <v>0</v>
      </c>
      <c r="K55">
        <v>103.4</v>
      </c>
      <c r="L55">
        <v>58.9</v>
      </c>
      <c r="M55">
        <v>38.4</v>
      </c>
      <c r="N55">
        <v>0</v>
      </c>
      <c r="O55">
        <v>5.2</v>
      </c>
      <c r="P55">
        <v>165.4</v>
      </c>
      <c r="Q55">
        <v>17.3</v>
      </c>
      <c r="R55">
        <v>108.6</v>
      </c>
      <c r="S55">
        <v>2</v>
      </c>
    </row>
    <row r="56" spans="2:19" ht="15.75" thickBot="1" x14ac:dyDescent="0.3">
      <c r="B56" s="10" t="s">
        <v>41</v>
      </c>
      <c r="C56" s="11">
        <v>2019</v>
      </c>
      <c r="D56">
        <v>105.8</v>
      </c>
      <c r="E56">
        <v>92.7</v>
      </c>
      <c r="F56">
        <v>12.9</v>
      </c>
      <c r="G56">
        <v>0.1</v>
      </c>
      <c r="H56">
        <v>0</v>
      </c>
      <c r="I56">
        <v>0</v>
      </c>
      <c r="J56">
        <v>0</v>
      </c>
      <c r="K56">
        <v>69.900000000000006</v>
      </c>
      <c r="L56">
        <v>50.7</v>
      </c>
      <c r="M56">
        <v>34.9</v>
      </c>
      <c r="N56">
        <v>0.1</v>
      </c>
      <c r="O56">
        <v>1.5</v>
      </c>
      <c r="P56">
        <v>54.1</v>
      </c>
      <c r="Q56">
        <v>5.9</v>
      </c>
      <c r="R56">
        <v>43</v>
      </c>
      <c r="S56">
        <v>1.1000000000000001</v>
      </c>
    </row>
    <row r="57" spans="2:19" ht="15.75" thickBot="1" x14ac:dyDescent="0.3">
      <c r="B57" s="6" t="s">
        <v>42</v>
      </c>
      <c r="C57" s="7">
        <v>1999</v>
      </c>
      <c r="D57">
        <v>319</v>
      </c>
      <c r="E57">
        <v>202.5</v>
      </c>
      <c r="F57">
        <v>88</v>
      </c>
      <c r="G57">
        <v>24.2</v>
      </c>
      <c r="H57">
        <v>4.0999999999999996</v>
      </c>
      <c r="I57">
        <v>0.2</v>
      </c>
      <c r="J57">
        <v>0</v>
      </c>
      <c r="K57">
        <v>166.9</v>
      </c>
      <c r="L57">
        <v>95.1</v>
      </c>
      <c r="M57">
        <v>44.4</v>
      </c>
      <c r="N57">
        <v>0.1</v>
      </c>
      <c r="O57">
        <v>14.6</v>
      </c>
      <c r="P57">
        <v>248.2</v>
      </c>
      <c r="Q57">
        <v>8.6999999999999993</v>
      </c>
      <c r="R57">
        <v>46.9</v>
      </c>
      <c r="S57">
        <v>0.5</v>
      </c>
    </row>
    <row r="58" spans="2:19" ht="15.75" thickBot="1" x14ac:dyDescent="0.3">
      <c r="B58" s="6" t="s">
        <v>42</v>
      </c>
      <c r="C58" s="9">
        <v>2009</v>
      </c>
      <c r="D58">
        <v>320</v>
      </c>
      <c r="E58">
        <v>245.9</v>
      </c>
      <c r="F58">
        <v>65.2</v>
      </c>
      <c r="G58">
        <v>7.2</v>
      </c>
      <c r="H58">
        <v>1.8</v>
      </c>
      <c r="I58">
        <v>0</v>
      </c>
      <c r="J58">
        <v>0</v>
      </c>
      <c r="K58">
        <v>131.69999999999999</v>
      </c>
      <c r="L58">
        <v>62.4</v>
      </c>
      <c r="M58">
        <v>39.1</v>
      </c>
      <c r="N58">
        <v>0</v>
      </c>
      <c r="O58">
        <v>3</v>
      </c>
      <c r="P58">
        <v>204.8</v>
      </c>
      <c r="Q58">
        <v>11</v>
      </c>
      <c r="R58">
        <v>101</v>
      </c>
      <c r="S58">
        <v>0.2</v>
      </c>
    </row>
    <row r="59" spans="2:19" ht="15.75" thickBot="1" x14ac:dyDescent="0.3">
      <c r="B59" s="10" t="s">
        <v>42</v>
      </c>
      <c r="C59" s="11">
        <v>2019</v>
      </c>
      <c r="D59">
        <v>243.3</v>
      </c>
      <c r="E59">
        <v>204.9</v>
      </c>
      <c r="F59">
        <v>38</v>
      </c>
      <c r="G59">
        <v>0.5</v>
      </c>
      <c r="H59">
        <v>0</v>
      </c>
      <c r="I59">
        <v>0</v>
      </c>
      <c r="J59">
        <v>0</v>
      </c>
      <c r="K59">
        <v>89</v>
      </c>
      <c r="L59">
        <v>52.9</v>
      </c>
      <c r="M59">
        <v>35</v>
      </c>
      <c r="N59">
        <v>0.1</v>
      </c>
      <c r="O59">
        <v>4.4000000000000004</v>
      </c>
      <c r="P59">
        <v>157.19999999999999</v>
      </c>
      <c r="Q59">
        <v>12.7</v>
      </c>
      <c r="R59">
        <v>68.5</v>
      </c>
      <c r="S59">
        <v>0.5</v>
      </c>
    </row>
    <row r="60" spans="2:19" ht="15.75" thickBot="1" x14ac:dyDescent="0.3">
      <c r="B60" s="6" t="s">
        <v>43</v>
      </c>
      <c r="C60" s="7">
        <v>1999</v>
      </c>
      <c r="D60">
        <v>244.6</v>
      </c>
      <c r="E60">
        <v>216.7</v>
      </c>
      <c r="F60">
        <v>20.399999999999999</v>
      </c>
      <c r="G60">
        <v>5.9</v>
      </c>
      <c r="H60">
        <v>1.3</v>
      </c>
      <c r="I60">
        <v>0.4</v>
      </c>
      <c r="J60">
        <v>0</v>
      </c>
      <c r="K60">
        <v>146.4</v>
      </c>
      <c r="L60">
        <v>55.7</v>
      </c>
      <c r="M60">
        <v>29.6</v>
      </c>
      <c r="N60">
        <v>0</v>
      </c>
      <c r="O60">
        <v>8.1</v>
      </c>
      <c r="P60">
        <v>141.6</v>
      </c>
      <c r="Q60">
        <v>40.700000000000003</v>
      </c>
      <c r="R60">
        <v>6.9</v>
      </c>
      <c r="S60">
        <v>47.3</v>
      </c>
    </row>
    <row r="61" spans="2:19" ht="15.75" thickBot="1" x14ac:dyDescent="0.3">
      <c r="B61" s="8" t="s">
        <v>43</v>
      </c>
      <c r="C61" s="9">
        <v>2009</v>
      </c>
      <c r="D61">
        <v>286.39999999999998</v>
      </c>
      <c r="E61">
        <v>268.8</v>
      </c>
      <c r="F61">
        <v>16</v>
      </c>
      <c r="G61">
        <v>1.4</v>
      </c>
      <c r="H61">
        <v>0.2</v>
      </c>
      <c r="I61">
        <v>0</v>
      </c>
      <c r="J61">
        <v>0</v>
      </c>
      <c r="K61">
        <v>120.8</v>
      </c>
      <c r="L61">
        <v>47.3</v>
      </c>
      <c r="M61">
        <v>32</v>
      </c>
      <c r="N61">
        <v>0.1</v>
      </c>
      <c r="O61">
        <v>8.6</v>
      </c>
      <c r="P61">
        <v>247.3</v>
      </c>
      <c r="Q61">
        <v>0.5</v>
      </c>
      <c r="R61">
        <v>14.8</v>
      </c>
      <c r="S61">
        <v>15.1</v>
      </c>
    </row>
    <row r="62" spans="2:19" ht="15.75" thickBot="1" x14ac:dyDescent="0.3">
      <c r="B62" s="10" t="s">
        <v>43</v>
      </c>
      <c r="C62" s="11">
        <v>2019</v>
      </c>
      <c r="D62">
        <v>271.3</v>
      </c>
      <c r="E62">
        <v>257.60000000000002</v>
      </c>
      <c r="F62">
        <v>13.3</v>
      </c>
      <c r="G62">
        <v>0.3</v>
      </c>
      <c r="H62">
        <v>0.1</v>
      </c>
      <c r="I62">
        <v>0</v>
      </c>
      <c r="J62">
        <v>0</v>
      </c>
      <c r="K62">
        <v>93.5</v>
      </c>
      <c r="L62">
        <v>47</v>
      </c>
      <c r="M62">
        <v>35.6</v>
      </c>
      <c r="N62">
        <v>0.3</v>
      </c>
      <c r="O62">
        <v>5</v>
      </c>
      <c r="P62">
        <v>209.4</v>
      </c>
      <c r="Q62">
        <v>0</v>
      </c>
      <c r="R62">
        <v>55.7</v>
      </c>
      <c r="S62">
        <v>0.9</v>
      </c>
    </row>
    <row r="63" spans="2:19" ht="15.75" thickBot="1" x14ac:dyDescent="0.3">
      <c r="B63" s="6" t="s">
        <v>44</v>
      </c>
      <c r="C63" s="7">
        <v>1999</v>
      </c>
      <c r="D63">
        <v>254</v>
      </c>
      <c r="E63">
        <v>147.9</v>
      </c>
      <c r="F63">
        <v>62.6</v>
      </c>
      <c r="G63">
        <v>27.1</v>
      </c>
      <c r="H63">
        <v>13.8</v>
      </c>
      <c r="I63">
        <v>2.6</v>
      </c>
      <c r="J63">
        <v>0</v>
      </c>
      <c r="K63">
        <v>196.2</v>
      </c>
      <c r="L63">
        <v>123.4</v>
      </c>
      <c r="M63">
        <v>44.9</v>
      </c>
      <c r="N63">
        <v>6.6</v>
      </c>
      <c r="O63">
        <v>24.9</v>
      </c>
      <c r="P63">
        <v>188.4</v>
      </c>
      <c r="Q63">
        <v>11.6</v>
      </c>
      <c r="R63">
        <v>15.5</v>
      </c>
      <c r="S63">
        <v>7</v>
      </c>
    </row>
    <row r="64" spans="2:19" ht="15.75" thickBot="1" x14ac:dyDescent="0.3">
      <c r="B64" s="6" t="s">
        <v>44</v>
      </c>
      <c r="C64" s="9">
        <v>2009</v>
      </c>
      <c r="D64">
        <v>282.89999999999998</v>
      </c>
      <c r="E64">
        <v>195.7</v>
      </c>
      <c r="F64">
        <v>83.5</v>
      </c>
      <c r="G64">
        <v>3.5</v>
      </c>
      <c r="H64">
        <v>0.1</v>
      </c>
      <c r="I64">
        <v>0.1</v>
      </c>
      <c r="J64">
        <v>0</v>
      </c>
      <c r="K64">
        <v>119.3</v>
      </c>
      <c r="L64">
        <v>66.2</v>
      </c>
      <c r="M64">
        <v>43.1</v>
      </c>
      <c r="N64">
        <v>0.1</v>
      </c>
      <c r="O64">
        <v>4.3</v>
      </c>
      <c r="P64">
        <v>177.5</v>
      </c>
      <c r="Q64">
        <v>2.2000000000000002</v>
      </c>
      <c r="R64">
        <v>98.5</v>
      </c>
      <c r="S64">
        <v>0.3</v>
      </c>
    </row>
    <row r="65" spans="2:19" ht="15.75" thickBot="1" x14ac:dyDescent="0.3">
      <c r="B65" s="10" t="s">
        <v>44</v>
      </c>
      <c r="C65" s="11">
        <v>2019</v>
      </c>
      <c r="D65">
        <v>241.8</v>
      </c>
      <c r="E65">
        <v>199.4</v>
      </c>
      <c r="F65">
        <v>39.9</v>
      </c>
      <c r="G65">
        <v>2.5</v>
      </c>
      <c r="H65">
        <v>0.1</v>
      </c>
      <c r="I65">
        <v>0</v>
      </c>
      <c r="J65">
        <v>0</v>
      </c>
      <c r="K65">
        <v>105.2</v>
      </c>
      <c r="L65">
        <v>58.1</v>
      </c>
      <c r="M65">
        <v>39.1</v>
      </c>
      <c r="N65">
        <v>0.1</v>
      </c>
      <c r="O65">
        <v>6.8</v>
      </c>
      <c r="P65">
        <v>159.9</v>
      </c>
      <c r="Q65">
        <v>13.2</v>
      </c>
      <c r="R65">
        <v>61.3</v>
      </c>
      <c r="S65">
        <v>0.5</v>
      </c>
    </row>
    <row r="66" spans="2:19" ht="15.75" thickBot="1" x14ac:dyDescent="0.3">
      <c r="B66" s="8" t="s">
        <v>45</v>
      </c>
      <c r="C66" s="7">
        <v>1999</v>
      </c>
      <c r="D66">
        <v>295.89999999999998</v>
      </c>
      <c r="E66">
        <v>192.4</v>
      </c>
      <c r="F66">
        <v>82.4</v>
      </c>
      <c r="G66">
        <v>15.2</v>
      </c>
      <c r="H66">
        <v>5.4</v>
      </c>
      <c r="I66">
        <v>0.6</v>
      </c>
      <c r="J66">
        <v>0</v>
      </c>
      <c r="K66">
        <v>180.5</v>
      </c>
      <c r="L66">
        <v>85.1</v>
      </c>
      <c r="M66">
        <v>43.7</v>
      </c>
      <c r="N66">
        <v>2.9</v>
      </c>
      <c r="O66">
        <v>30.3</v>
      </c>
      <c r="P66">
        <v>145.5</v>
      </c>
      <c r="Q66">
        <v>42.6</v>
      </c>
      <c r="R66">
        <v>74.099999999999994</v>
      </c>
      <c r="S66">
        <v>0.5</v>
      </c>
    </row>
    <row r="67" spans="2:19" ht="15.75" thickBot="1" x14ac:dyDescent="0.3">
      <c r="B67" s="6" t="s">
        <v>45</v>
      </c>
      <c r="C67" s="9">
        <v>2009</v>
      </c>
      <c r="D67">
        <v>319.3</v>
      </c>
      <c r="E67">
        <v>241.9</v>
      </c>
      <c r="F67">
        <v>72.400000000000006</v>
      </c>
      <c r="G67">
        <v>4.9000000000000004</v>
      </c>
      <c r="H67">
        <v>0.1</v>
      </c>
      <c r="I67">
        <v>0</v>
      </c>
      <c r="J67">
        <v>0</v>
      </c>
      <c r="K67">
        <v>130.4</v>
      </c>
      <c r="L67">
        <v>62.2</v>
      </c>
      <c r="M67">
        <v>37.299999999999997</v>
      </c>
      <c r="N67">
        <v>0.3</v>
      </c>
      <c r="O67">
        <v>11.5</v>
      </c>
      <c r="P67">
        <v>153.30000000000001</v>
      </c>
      <c r="Q67">
        <v>4.8</v>
      </c>
      <c r="R67">
        <v>149.30000000000001</v>
      </c>
      <c r="S67">
        <v>0.3</v>
      </c>
    </row>
    <row r="68" spans="2:19" ht="15.75" thickBot="1" x14ac:dyDescent="0.3">
      <c r="B68" s="10" t="s">
        <v>45</v>
      </c>
      <c r="C68" s="11">
        <v>2019</v>
      </c>
      <c r="D68">
        <v>241.1</v>
      </c>
      <c r="E68">
        <v>215.5</v>
      </c>
      <c r="F68">
        <v>25.2</v>
      </c>
      <c r="G68">
        <v>0.4</v>
      </c>
      <c r="H68">
        <v>0</v>
      </c>
      <c r="I68">
        <v>0</v>
      </c>
      <c r="J68">
        <v>0</v>
      </c>
      <c r="K68">
        <v>96</v>
      </c>
      <c r="L68">
        <v>50.5</v>
      </c>
      <c r="M68">
        <v>40.1</v>
      </c>
      <c r="N68">
        <v>0.2</v>
      </c>
      <c r="O68">
        <v>4.9000000000000004</v>
      </c>
      <c r="P68">
        <v>192.9</v>
      </c>
      <c r="Q68">
        <v>0</v>
      </c>
      <c r="R68">
        <v>43.1</v>
      </c>
      <c r="S68">
        <v>0</v>
      </c>
    </row>
    <row r="69" spans="2:19" ht="15.75" thickBot="1" x14ac:dyDescent="0.3">
      <c r="B69" s="8" t="s">
        <v>46</v>
      </c>
      <c r="C69" s="7">
        <v>1999</v>
      </c>
      <c r="D69">
        <v>209.9</v>
      </c>
      <c r="E69">
        <v>132.19999999999999</v>
      </c>
      <c r="F69">
        <v>51.6</v>
      </c>
      <c r="G69">
        <v>19</v>
      </c>
      <c r="H69">
        <v>6.6</v>
      </c>
      <c r="I69">
        <v>0.4</v>
      </c>
      <c r="J69">
        <v>0</v>
      </c>
      <c r="K69">
        <v>159.9</v>
      </c>
      <c r="L69">
        <v>96</v>
      </c>
      <c r="M69">
        <v>38.9</v>
      </c>
      <c r="N69">
        <v>5</v>
      </c>
      <c r="O69">
        <v>1.1000000000000001</v>
      </c>
      <c r="P69">
        <v>117.8</v>
      </c>
      <c r="Q69">
        <v>34.799999999999997</v>
      </c>
      <c r="R69">
        <v>47.3</v>
      </c>
      <c r="S69">
        <v>3.8</v>
      </c>
    </row>
    <row r="70" spans="2:19" ht="15.75" thickBot="1" x14ac:dyDescent="0.3">
      <c r="B70" s="8" t="s">
        <v>46</v>
      </c>
      <c r="C70" s="9">
        <v>2009</v>
      </c>
      <c r="D70">
        <v>214.7</v>
      </c>
      <c r="E70">
        <v>163.6</v>
      </c>
      <c r="F70">
        <v>48.3</v>
      </c>
      <c r="G70">
        <v>2.7</v>
      </c>
      <c r="H70">
        <v>0.1</v>
      </c>
      <c r="I70">
        <v>0</v>
      </c>
      <c r="J70">
        <v>0</v>
      </c>
      <c r="K70">
        <v>123</v>
      </c>
      <c r="L70">
        <v>63.5</v>
      </c>
      <c r="M70">
        <v>38.6</v>
      </c>
      <c r="N70">
        <v>0.2</v>
      </c>
      <c r="O70">
        <v>0.7</v>
      </c>
      <c r="P70">
        <v>140.9</v>
      </c>
      <c r="Q70">
        <v>1.7</v>
      </c>
      <c r="R70">
        <v>71.2</v>
      </c>
      <c r="S70">
        <v>0.1</v>
      </c>
    </row>
    <row r="71" spans="2:19" ht="15.75" thickBot="1" x14ac:dyDescent="0.3">
      <c r="B71" s="10" t="s">
        <v>46</v>
      </c>
      <c r="C71" s="11">
        <v>2019</v>
      </c>
      <c r="D71">
        <v>163.6</v>
      </c>
      <c r="E71">
        <v>143.6</v>
      </c>
      <c r="F71">
        <v>19.600000000000001</v>
      </c>
      <c r="G71">
        <v>0.4</v>
      </c>
      <c r="H71">
        <v>0</v>
      </c>
      <c r="I71">
        <v>0</v>
      </c>
      <c r="J71">
        <v>0</v>
      </c>
      <c r="K71">
        <v>87.3</v>
      </c>
      <c r="L71">
        <v>50.9</v>
      </c>
      <c r="M71">
        <v>37.4</v>
      </c>
      <c r="N71">
        <v>0.1</v>
      </c>
      <c r="O71">
        <v>1.8</v>
      </c>
      <c r="P71">
        <v>120.5</v>
      </c>
      <c r="Q71">
        <v>8.4</v>
      </c>
      <c r="R71">
        <v>31.5</v>
      </c>
      <c r="S71">
        <v>1.2</v>
      </c>
    </row>
    <row r="72" spans="2:19" ht="15.75" thickBot="1" x14ac:dyDescent="0.3">
      <c r="B72" s="6" t="s">
        <v>47</v>
      </c>
      <c r="C72" s="7">
        <v>1999</v>
      </c>
      <c r="D72">
        <v>187.5</v>
      </c>
      <c r="E72">
        <v>166.9</v>
      </c>
      <c r="F72">
        <v>18.7</v>
      </c>
      <c r="G72">
        <v>1.9</v>
      </c>
      <c r="H72">
        <v>0</v>
      </c>
      <c r="I72">
        <v>0</v>
      </c>
      <c r="J72">
        <v>0</v>
      </c>
      <c r="K72">
        <v>75.5</v>
      </c>
      <c r="L72">
        <v>45</v>
      </c>
      <c r="M72">
        <v>24.4</v>
      </c>
      <c r="N72">
        <v>30</v>
      </c>
      <c r="O72">
        <v>21.5</v>
      </c>
      <c r="P72">
        <v>83.8</v>
      </c>
      <c r="Q72">
        <v>23.6</v>
      </c>
      <c r="R72">
        <v>11.6</v>
      </c>
      <c r="S72">
        <v>17</v>
      </c>
    </row>
    <row r="73" spans="2:19" ht="15.75" thickBot="1" x14ac:dyDescent="0.3">
      <c r="B73" s="6" t="s">
        <v>47</v>
      </c>
      <c r="C73" s="9">
        <v>2009</v>
      </c>
      <c r="D73">
        <v>288.7</v>
      </c>
      <c r="E73">
        <v>229.6</v>
      </c>
      <c r="F73">
        <v>57.7</v>
      </c>
      <c r="G73">
        <v>1.3</v>
      </c>
      <c r="H73">
        <v>0</v>
      </c>
      <c r="I73">
        <v>0</v>
      </c>
      <c r="J73">
        <v>0</v>
      </c>
      <c r="K73">
        <v>103.4</v>
      </c>
      <c r="L73">
        <v>57.3</v>
      </c>
      <c r="M73">
        <v>33</v>
      </c>
      <c r="N73">
        <v>1</v>
      </c>
      <c r="O73">
        <v>2</v>
      </c>
      <c r="P73">
        <v>98.6</v>
      </c>
      <c r="Q73">
        <v>8.5</v>
      </c>
      <c r="R73">
        <v>175.7</v>
      </c>
      <c r="S73">
        <v>3</v>
      </c>
    </row>
    <row r="74" spans="2:19" ht="15.75" thickBot="1" x14ac:dyDescent="0.3">
      <c r="B74" s="10" t="s">
        <v>47</v>
      </c>
      <c r="C74" s="11">
        <v>2019</v>
      </c>
      <c r="D74">
        <v>180.3</v>
      </c>
      <c r="E74">
        <v>156.4</v>
      </c>
      <c r="F74">
        <v>23.8</v>
      </c>
      <c r="G74">
        <v>0.2</v>
      </c>
      <c r="H74">
        <v>0</v>
      </c>
      <c r="I74">
        <v>0</v>
      </c>
      <c r="J74">
        <v>0</v>
      </c>
      <c r="K74">
        <v>85.9</v>
      </c>
      <c r="L74">
        <v>52</v>
      </c>
      <c r="M74">
        <v>32.4</v>
      </c>
      <c r="N74">
        <v>0.3</v>
      </c>
      <c r="O74">
        <v>2.4</v>
      </c>
      <c r="P74">
        <v>76.8</v>
      </c>
      <c r="Q74">
        <v>6.9</v>
      </c>
      <c r="R74">
        <v>88.1</v>
      </c>
      <c r="S74">
        <v>5.9</v>
      </c>
    </row>
    <row r="75" spans="2:19" ht="15.75" thickBot="1" x14ac:dyDescent="0.3">
      <c r="B75" s="8" t="s">
        <v>48</v>
      </c>
      <c r="C75" s="7">
        <v>1999</v>
      </c>
      <c r="D75">
        <v>195.6</v>
      </c>
      <c r="E75">
        <v>101.4</v>
      </c>
      <c r="F75">
        <v>73.099999999999994</v>
      </c>
      <c r="G75">
        <v>18.8</v>
      </c>
      <c r="H75">
        <v>2.2999999999999998</v>
      </c>
      <c r="I75">
        <v>0.1</v>
      </c>
      <c r="J75">
        <v>0</v>
      </c>
      <c r="K75">
        <v>140.19999999999999</v>
      </c>
      <c r="L75">
        <v>88.6</v>
      </c>
      <c r="M75">
        <v>47.5</v>
      </c>
      <c r="N75">
        <v>1.6</v>
      </c>
      <c r="O75">
        <v>11.8</v>
      </c>
      <c r="P75">
        <v>105.9</v>
      </c>
      <c r="Q75">
        <v>13.4</v>
      </c>
      <c r="R75">
        <v>57.3</v>
      </c>
      <c r="S75">
        <v>5.6</v>
      </c>
    </row>
    <row r="76" spans="2:19" ht="15.75" thickBot="1" x14ac:dyDescent="0.3">
      <c r="B76" s="8" t="s">
        <v>48</v>
      </c>
      <c r="C76" s="9">
        <v>2009</v>
      </c>
      <c r="D76">
        <v>261.10000000000002</v>
      </c>
      <c r="E76">
        <v>190</v>
      </c>
      <c r="F76">
        <v>69.8</v>
      </c>
      <c r="G76">
        <v>1.3</v>
      </c>
      <c r="H76">
        <v>0</v>
      </c>
      <c r="I76">
        <v>0</v>
      </c>
      <c r="J76">
        <v>0</v>
      </c>
      <c r="K76">
        <v>104.2</v>
      </c>
      <c r="L76">
        <v>59.4</v>
      </c>
      <c r="M76">
        <v>41.2</v>
      </c>
      <c r="N76">
        <v>0</v>
      </c>
      <c r="O76">
        <v>3</v>
      </c>
      <c r="P76">
        <v>92.5</v>
      </c>
      <c r="Q76">
        <v>1.4</v>
      </c>
      <c r="R76">
        <v>164.2</v>
      </c>
      <c r="S76">
        <v>0</v>
      </c>
    </row>
    <row r="77" spans="2:19" ht="15.75" thickBot="1" x14ac:dyDescent="0.3">
      <c r="B77" s="10" t="s">
        <v>48</v>
      </c>
      <c r="C77" s="11">
        <v>2019</v>
      </c>
      <c r="D77">
        <v>253.8</v>
      </c>
      <c r="E77">
        <v>211.3</v>
      </c>
      <c r="F77">
        <v>42.3</v>
      </c>
      <c r="G77">
        <v>0.2</v>
      </c>
      <c r="H77">
        <v>0</v>
      </c>
      <c r="I77">
        <v>0</v>
      </c>
      <c r="J77">
        <v>0</v>
      </c>
      <c r="K77">
        <v>89.6</v>
      </c>
      <c r="L77">
        <v>54.4</v>
      </c>
      <c r="M77">
        <v>39.200000000000003</v>
      </c>
      <c r="N77">
        <v>0.1</v>
      </c>
      <c r="O77">
        <v>0.1</v>
      </c>
      <c r="P77">
        <v>144.30000000000001</v>
      </c>
      <c r="Q77">
        <v>0</v>
      </c>
      <c r="R77">
        <v>109.3</v>
      </c>
      <c r="S77">
        <v>0</v>
      </c>
    </row>
    <row r="78" spans="2:19" ht="15.75" thickBot="1" x14ac:dyDescent="0.3">
      <c r="B78" s="8" t="s">
        <v>49</v>
      </c>
      <c r="C78" s="7">
        <v>1999</v>
      </c>
      <c r="D78">
        <v>300.5</v>
      </c>
      <c r="E78">
        <v>159.9</v>
      </c>
      <c r="F78">
        <v>104.4</v>
      </c>
      <c r="G78">
        <v>26.5</v>
      </c>
      <c r="H78">
        <v>9.3000000000000007</v>
      </c>
      <c r="I78">
        <v>0.4</v>
      </c>
      <c r="J78">
        <v>0</v>
      </c>
      <c r="K78">
        <v>170.6</v>
      </c>
      <c r="L78">
        <v>99.1</v>
      </c>
      <c r="M78">
        <v>47.1</v>
      </c>
      <c r="N78">
        <v>2.5</v>
      </c>
      <c r="O78">
        <v>29.8</v>
      </c>
      <c r="P78">
        <v>108.7</v>
      </c>
      <c r="Q78">
        <v>78.400000000000006</v>
      </c>
      <c r="R78">
        <v>70.7</v>
      </c>
      <c r="S78">
        <v>10.5</v>
      </c>
    </row>
    <row r="79" spans="2:19" ht="15.75" thickBot="1" x14ac:dyDescent="0.3">
      <c r="B79" s="6" t="s">
        <v>49</v>
      </c>
      <c r="C79" s="9">
        <v>2009</v>
      </c>
      <c r="D79">
        <v>289.89999999999998</v>
      </c>
      <c r="E79">
        <v>203.6</v>
      </c>
      <c r="F79">
        <v>77.8</v>
      </c>
      <c r="G79">
        <v>7.5</v>
      </c>
      <c r="H79">
        <v>1</v>
      </c>
      <c r="I79">
        <v>0</v>
      </c>
      <c r="J79">
        <v>0</v>
      </c>
      <c r="K79">
        <v>120.7</v>
      </c>
      <c r="L79">
        <v>66.400000000000006</v>
      </c>
      <c r="M79">
        <v>40.9</v>
      </c>
      <c r="N79">
        <v>0</v>
      </c>
      <c r="O79">
        <v>19.399999999999999</v>
      </c>
      <c r="P79">
        <v>141.30000000000001</v>
      </c>
      <c r="Q79">
        <v>23.6</v>
      </c>
      <c r="R79">
        <v>94.2</v>
      </c>
      <c r="S79">
        <v>11.4</v>
      </c>
    </row>
    <row r="80" spans="2:19" ht="15.75" thickBot="1" x14ac:dyDescent="0.3">
      <c r="B80" s="10" t="s">
        <v>49</v>
      </c>
      <c r="C80" s="11">
        <v>2019</v>
      </c>
      <c r="D80">
        <v>161.69999999999999</v>
      </c>
      <c r="E80">
        <v>131.5</v>
      </c>
      <c r="F80">
        <v>23.3</v>
      </c>
      <c r="G80">
        <v>3</v>
      </c>
      <c r="H80">
        <v>4</v>
      </c>
      <c r="I80">
        <v>0</v>
      </c>
      <c r="J80">
        <v>0</v>
      </c>
      <c r="K80">
        <v>86.7</v>
      </c>
      <c r="L80">
        <v>58.6</v>
      </c>
      <c r="M80">
        <v>43.6</v>
      </c>
      <c r="N80">
        <v>0.1</v>
      </c>
      <c r="O80">
        <v>1.9</v>
      </c>
      <c r="P80">
        <v>89.5</v>
      </c>
      <c r="Q80">
        <v>27.6</v>
      </c>
      <c r="R80">
        <v>35.700000000000003</v>
      </c>
      <c r="S80">
        <v>7</v>
      </c>
    </row>
    <row r="81" spans="2:19" ht="15.75" thickBot="1" x14ac:dyDescent="0.3">
      <c r="B81" s="8" t="s">
        <v>50</v>
      </c>
      <c r="C81" s="7">
        <v>1999</v>
      </c>
      <c r="D81">
        <v>278.89999999999998</v>
      </c>
      <c r="E81">
        <v>233.2</v>
      </c>
      <c r="F81">
        <v>37.5</v>
      </c>
      <c r="G81">
        <v>7.3</v>
      </c>
      <c r="H81">
        <v>0.9</v>
      </c>
      <c r="I81">
        <v>0</v>
      </c>
      <c r="J81">
        <v>0</v>
      </c>
      <c r="K81">
        <v>109.6</v>
      </c>
      <c r="L81">
        <v>51</v>
      </c>
      <c r="M81">
        <v>23.2</v>
      </c>
      <c r="N81">
        <v>42.2</v>
      </c>
      <c r="O81">
        <v>2.4</v>
      </c>
      <c r="P81">
        <v>11.5</v>
      </c>
      <c r="Q81">
        <v>75.599999999999994</v>
      </c>
      <c r="R81">
        <v>25.5</v>
      </c>
      <c r="S81">
        <v>121.7</v>
      </c>
    </row>
    <row r="82" spans="2:19" ht="15.75" thickBot="1" x14ac:dyDescent="0.3">
      <c r="B82" s="6" t="s">
        <v>50</v>
      </c>
      <c r="C82" s="9">
        <v>2009</v>
      </c>
      <c r="D82">
        <v>266.60000000000002</v>
      </c>
      <c r="E82">
        <v>220.4</v>
      </c>
      <c r="F82">
        <v>44.1</v>
      </c>
      <c r="G82">
        <v>1.9</v>
      </c>
      <c r="H82">
        <v>0.1</v>
      </c>
      <c r="I82">
        <v>0</v>
      </c>
      <c r="J82">
        <v>0</v>
      </c>
      <c r="K82">
        <v>88</v>
      </c>
      <c r="L82">
        <v>47.8</v>
      </c>
      <c r="M82">
        <v>25.9</v>
      </c>
      <c r="N82">
        <v>2.6</v>
      </c>
      <c r="O82">
        <v>1.3</v>
      </c>
      <c r="P82">
        <v>28.4</v>
      </c>
      <c r="Q82">
        <v>17.100000000000001</v>
      </c>
      <c r="R82">
        <v>188.4</v>
      </c>
      <c r="S82">
        <v>28.7</v>
      </c>
    </row>
    <row r="83" spans="2:19" ht="15.75" thickBot="1" x14ac:dyDescent="0.3">
      <c r="B83" s="10" t="s">
        <v>50</v>
      </c>
      <c r="C83" s="11">
        <v>2019</v>
      </c>
      <c r="D83">
        <v>191.8</v>
      </c>
      <c r="E83">
        <v>165.9</v>
      </c>
      <c r="F83">
        <v>25.6</v>
      </c>
      <c r="G83">
        <v>0.3</v>
      </c>
      <c r="H83">
        <v>0</v>
      </c>
      <c r="I83">
        <v>0.1</v>
      </c>
      <c r="J83">
        <v>0</v>
      </c>
      <c r="K83">
        <v>96.8</v>
      </c>
      <c r="L83">
        <v>52.4</v>
      </c>
      <c r="M83">
        <v>31.1</v>
      </c>
      <c r="N83">
        <v>0.3</v>
      </c>
      <c r="O83">
        <v>1</v>
      </c>
      <c r="P83">
        <v>77</v>
      </c>
      <c r="Q83">
        <v>4.8</v>
      </c>
      <c r="R83">
        <v>99.7</v>
      </c>
      <c r="S83">
        <v>9</v>
      </c>
    </row>
    <row r="84" spans="2:19" ht="15.75" thickBot="1" x14ac:dyDescent="0.3">
      <c r="B84" s="8" t="s">
        <v>51</v>
      </c>
      <c r="C84" s="7">
        <v>1999</v>
      </c>
      <c r="D84">
        <v>112.9</v>
      </c>
      <c r="E84">
        <v>88.4</v>
      </c>
      <c r="F84">
        <v>23.3</v>
      </c>
      <c r="G84">
        <v>0.9</v>
      </c>
      <c r="H84">
        <v>0.3</v>
      </c>
      <c r="I84">
        <v>0</v>
      </c>
      <c r="J84">
        <v>0</v>
      </c>
      <c r="K84">
        <v>92.1</v>
      </c>
      <c r="L84">
        <v>55.8</v>
      </c>
      <c r="M84">
        <v>31.4</v>
      </c>
      <c r="N84">
        <v>17.2</v>
      </c>
      <c r="O84">
        <v>0</v>
      </c>
      <c r="P84">
        <v>27.5</v>
      </c>
      <c r="Q84">
        <v>0.4</v>
      </c>
      <c r="R84">
        <v>56.9</v>
      </c>
      <c r="S84">
        <v>10.9</v>
      </c>
    </row>
    <row r="85" spans="2:19" ht="15.75" thickBot="1" x14ac:dyDescent="0.3">
      <c r="B85" s="8" t="s">
        <v>51</v>
      </c>
      <c r="C85" s="9">
        <v>2009</v>
      </c>
      <c r="D85">
        <v>171.6</v>
      </c>
      <c r="E85">
        <v>149.80000000000001</v>
      </c>
      <c r="F85">
        <v>21.1</v>
      </c>
      <c r="G85">
        <v>0.5</v>
      </c>
      <c r="H85">
        <v>0.1</v>
      </c>
      <c r="I85">
        <v>0.1</v>
      </c>
      <c r="J85">
        <v>0</v>
      </c>
      <c r="K85">
        <v>95</v>
      </c>
      <c r="L85">
        <v>45.9</v>
      </c>
      <c r="M85">
        <v>25.5</v>
      </c>
      <c r="N85">
        <v>9.5</v>
      </c>
      <c r="O85">
        <v>0</v>
      </c>
      <c r="P85">
        <v>35.799999999999997</v>
      </c>
      <c r="Q85">
        <v>1.7</v>
      </c>
      <c r="R85">
        <v>81.099999999999994</v>
      </c>
      <c r="S85">
        <v>43.5</v>
      </c>
    </row>
    <row r="86" spans="2:19" ht="15.75" thickBot="1" x14ac:dyDescent="0.3">
      <c r="B86" s="10" t="s">
        <v>51</v>
      </c>
      <c r="C86" s="11">
        <v>2019</v>
      </c>
      <c r="D86">
        <v>192.9</v>
      </c>
      <c r="E86">
        <v>174.5</v>
      </c>
      <c r="F86">
        <v>18.399999999999999</v>
      </c>
      <c r="G86">
        <v>0</v>
      </c>
      <c r="H86">
        <v>0</v>
      </c>
      <c r="I86">
        <v>0</v>
      </c>
      <c r="J86">
        <v>0</v>
      </c>
      <c r="K86">
        <v>70.400000000000006</v>
      </c>
      <c r="L86">
        <v>45.1</v>
      </c>
      <c r="M86">
        <v>28.1</v>
      </c>
      <c r="N86">
        <v>0.1</v>
      </c>
      <c r="O86">
        <v>0</v>
      </c>
      <c r="P86">
        <v>71.400000000000006</v>
      </c>
      <c r="Q86">
        <v>6.4</v>
      </c>
      <c r="R86">
        <v>79</v>
      </c>
      <c r="S86">
        <v>36</v>
      </c>
    </row>
    <row r="87" spans="2:19" ht="15.75" thickBot="1" x14ac:dyDescent="0.3">
      <c r="B87" s="6" t="s">
        <v>52</v>
      </c>
      <c r="C87" s="7">
        <v>1999</v>
      </c>
      <c r="D87">
        <v>326.3</v>
      </c>
      <c r="E87">
        <v>206.9</v>
      </c>
      <c r="F87">
        <v>105.3</v>
      </c>
      <c r="G87">
        <v>12.9</v>
      </c>
      <c r="H87">
        <v>1</v>
      </c>
      <c r="I87">
        <v>0.1</v>
      </c>
      <c r="J87">
        <v>0.1</v>
      </c>
      <c r="K87">
        <v>143.69999999999999</v>
      </c>
      <c r="L87">
        <v>71.400000000000006</v>
      </c>
      <c r="M87">
        <v>42.7</v>
      </c>
      <c r="N87">
        <v>18.600000000000001</v>
      </c>
      <c r="O87">
        <v>6.1</v>
      </c>
      <c r="P87">
        <v>205.6</v>
      </c>
      <c r="Q87">
        <v>0</v>
      </c>
      <c r="R87">
        <v>15.3</v>
      </c>
      <c r="S87">
        <v>80.7</v>
      </c>
    </row>
    <row r="88" spans="2:19" ht="15.75" thickBot="1" x14ac:dyDescent="0.3">
      <c r="B88" s="8" t="s">
        <v>52</v>
      </c>
      <c r="C88" s="9">
        <v>2009</v>
      </c>
      <c r="D88">
        <v>265.10000000000002</v>
      </c>
      <c r="E88">
        <v>210.4</v>
      </c>
      <c r="F88">
        <v>51</v>
      </c>
      <c r="G88">
        <v>3.6</v>
      </c>
      <c r="H88">
        <v>0.1</v>
      </c>
      <c r="I88">
        <v>0</v>
      </c>
      <c r="J88">
        <v>0</v>
      </c>
      <c r="K88">
        <v>104.8</v>
      </c>
      <c r="L88">
        <v>50.2</v>
      </c>
      <c r="M88">
        <v>33.799999999999997</v>
      </c>
      <c r="N88">
        <v>31.8</v>
      </c>
      <c r="O88">
        <v>7.9</v>
      </c>
      <c r="P88">
        <v>132.1</v>
      </c>
      <c r="Q88">
        <v>0</v>
      </c>
      <c r="R88">
        <v>15.8</v>
      </c>
      <c r="S88">
        <v>77.5</v>
      </c>
    </row>
    <row r="89" spans="2:19" ht="15.75" thickBot="1" x14ac:dyDescent="0.3">
      <c r="B89" s="10" t="s">
        <v>52</v>
      </c>
      <c r="C89" s="11">
        <v>2019</v>
      </c>
      <c r="D89">
        <v>198</v>
      </c>
      <c r="E89">
        <v>159.9</v>
      </c>
      <c r="F89">
        <v>37.6</v>
      </c>
      <c r="G89">
        <v>0.6</v>
      </c>
      <c r="H89">
        <v>0</v>
      </c>
      <c r="I89">
        <v>0</v>
      </c>
      <c r="J89">
        <v>0</v>
      </c>
      <c r="K89">
        <v>85.1</v>
      </c>
      <c r="L89">
        <v>50.6</v>
      </c>
      <c r="M89">
        <v>33.4</v>
      </c>
      <c r="N89">
        <v>0.2</v>
      </c>
      <c r="O89">
        <v>1.7</v>
      </c>
      <c r="P89">
        <v>122.3</v>
      </c>
      <c r="Q89">
        <v>0</v>
      </c>
      <c r="R89">
        <v>29.8</v>
      </c>
      <c r="S89">
        <v>44</v>
      </c>
    </row>
    <row r="90" spans="2:19" ht="15.75" thickBot="1" x14ac:dyDescent="0.3">
      <c r="B90" s="6" t="s">
        <v>53</v>
      </c>
      <c r="C90" s="7">
        <v>1999</v>
      </c>
      <c r="D90">
        <v>291.8</v>
      </c>
      <c r="E90">
        <v>221.5</v>
      </c>
      <c r="F90">
        <v>53.1</v>
      </c>
      <c r="G90">
        <v>15.2</v>
      </c>
      <c r="H90">
        <v>1.9</v>
      </c>
      <c r="I90">
        <v>0.1</v>
      </c>
      <c r="J90">
        <v>0</v>
      </c>
      <c r="K90">
        <v>155.1</v>
      </c>
      <c r="L90">
        <v>72.8</v>
      </c>
      <c r="M90">
        <v>37</v>
      </c>
      <c r="N90">
        <v>1.3</v>
      </c>
      <c r="O90">
        <v>12.5</v>
      </c>
      <c r="P90">
        <v>161.6</v>
      </c>
      <c r="Q90">
        <v>81.8</v>
      </c>
      <c r="R90">
        <v>30.9</v>
      </c>
      <c r="S90">
        <v>3.7</v>
      </c>
    </row>
    <row r="91" spans="2:19" ht="15.75" thickBot="1" x14ac:dyDescent="0.3">
      <c r="B91" s="6" t="s">
        <v>53</v>
      </c>
      <c r="C91" s="9">
        <v>2009</v>
      </c>
      <c r="D91">
        <v>331.9</v>
      </c>
      <c r="E91">
        <v>263.39999999999998</v>
      </c>
      <c r="F91">
        <v>55.4</v>
      </c>
      <c r="G91">
        <v>12.1</v>
      </c>
      <c r="H91">
        <v>0.9</v>
      </c>
      <c r="I91">
        <v>0</v>
      </c>
      <c r="J91">
        <v>0</v>
      </c>
      <c r="K91">
        <v>122.4</v>
      </c>
      <c r="L91">
        <v>65.400000000000006</v>
      </c>
      <c r="M91">
        <v>36.299999999999997</v>
      </c>
      <c r="N91">
        <v>0.3</v>
      </c>
      <c r="O91">
        <v>10</v>
      </c>
      <c r="P91">
        <v>186.1</v>
      </c>
      <c r="Q91">
        <v>48.7</v>
      </c>
      <c r="R91">
        <v>86.7</v>
      </c>
      <c r="S91">
        <v>0</v>
      </c>
    </row>
    <row r="92" spans="2:19" ht="15.75" thickBot="1" x14ac:dyDescent="0.3">
      <c r="B92" s="10" t="s">
        <v>53</v>
      </c>
      <c r="C92" s="11">
        <v>2019</v>
      </c>
      <c r="D92">
        <v>170.1</v>
      </c>
      <c r="E92">
        <v>166</v>
      </c>
      <c r="F92">
        <v>4.0999999999999996</v>
      </c>
      <c r="G92">
        <v>0</v>
      </c>
      <c r="H92">
        <v>0</v>
      </c>
      <c r="I92">
        <v>0</v>
      </c>
      <c r="J92">
        <v>0</v>
      </c>
      <c r="K92">
        <v>65.099999999999994</v>
      </c>
      <c r="L92">
        <v>45.3</v>
      </c>
      <c r="M92">
        <v>38</v>
      </c>
      <c r="N92">
        <v>0.3</v>
      </c>
      <c r="O92">
        <v>0</v>
      </c>
      <c r="P92">
        <v>150.4</v>
      </c>
      <c r="Q92">
        <v>9.1</v>
      </c>
      <c r="R92">
        <v>10.3</v>
      </c>
      <c r="S92">
        <v>0</v>
      </c>
    </row>
    <row r="93" spans="2:19" ht="15.75" thickBot="1" x14ac:dyDescent="0.3">
      <c r="B93" s="8" t="s">
        <v>54</v>
      </c>
      <c r="C93" s="7">
        <v>1999</v>
      </c>
      <c r="D93">
        <v>331.6</v>
      </c>
      <c r="E93">
        <v>222.5</v>
      </c>
      <c r="F93">
        <v>79</v>
      </c>
      <c r="G93">
        <v>16.8</v>
      </c>
      <c r="H93">
        <v>11.1</v>
      </c>
      <c r="I93">
        <v>2.2000000000000002</v>
      </c>
      <c r="J93">
        <v>0</v>
      </c>
      <c r="K93">
        <v>185.1</v>
      </c>
      <c r="L93">
        <v>97.3</v>
      </c>
      <c r="M93">
        <v>40.9</v>
      </c>
      <c r="N93">
        <v>34.4</v>
      </c>
      <c r="O93">
        <v>60.1</v>
      </c>
      <c r="P93">
        <v>173.3</v>
      </c>
      <c r="Q93">
        <v>25.7</v>
      </c>
      <c r="R93">
        <v>37.6</v>
      </c>
      <c r="S93">
        <v>0.6</v>
      </c>
    </row>
    <row r="94" spans="2:19" ht="15.75" thickBot="1" x14ac:dyDescent="0.3">
      <c r="B94" s="8" t="s">
        <v>54</v>
      </c>
      <c r="C94" s="9">
        <v>2009</v>
      </c>
      <c r="D94">
        <v>343.7</v>
      </c>
      <c r="E94">
        <v>257.60000000000002</v>
      </c>
      <c r="F94">
        <v>82.6</v>
      </c>
      <c r="G94">
        <v>3.5</v>
      </c>
      <c r="H94">
        <v>0</v>
      </c>
      <c r="I94">
        <v>0</v>
      </c>
      <c r="J94">
        <v>0</v>
      </c>
      <c r="K94">
        <v>116.5</v>
      </c>
      <c r="L94">
        <v>61.9</v>
      </c>
      <c r="M94">
        <v>37.4</v>
      </c>
      <c r="N94">
        <v>19.7</v>
      </c>
      <c r="O94">
        <v>33.9</v>
      </c>
      <c r="P94">
        <v>157.1</v>
      </c>
      <c r="Q94">
        <v>9.5</v>
      </c>
      <c r="R94">
        <v>121.8</v>
      </c>
      <c r="S94">
        <v>1.7</v>
      </c>
    </row>
    <row r="95" spans="2:19" ht="15.75" thickBot="1" x14ac:dyDescent="0.3">
      <c r="B95" s="10" t="s">
        <v>54</v>
      </c>
      <c r="C95" s="11">
        <v>2019</v>
      </c>
      <c r="D95">
        <v>173.8</v>
      </c>
      <c r="E95">
        <v>140.1</v>
      </c>
      <c r="F95">
        <v>32.799999999999997</v>
      </c>
      <c r="G95">
        <v>0.8</v>
      </c>
      <c r="H95">
        <v>0</v>
      </c>
      <c r="I95">
        <v>0</v>
      </c>
      <c r="J95">
        <v>0</v>
      </c>
      <c r="K95">
        <v>103.6</v>
      </c>
      <c r="L95">
        <v>56.3</v>
      </c>
      <c r="M95">
        <v>40.799999999999997</v>
      </c>
      <c r="N95">
        <v>0.3</v>
      </c>
      <c r="O95">
        <v>16.600000000000001</v>
      </c>
      <c r="P95">
        <v>107.7</v>
      </c>
      <c r="Q95">
        <v>0</v>
      </c>
      <c r="R95">
        <v>49.2</v>
      </c>
      <c r="S95">
        <v>0</v>
      </c>
    </row>
    <row r="96" spans="2:19" ht="15.75" thickBot="1" x14ac:dyDescent="0.3">
      <c r="B96" s="8" t="s">
        <v>55</v>
      </c>
      <c r="C96" s="7">
        <v>1999</v>
      </c>
      <c r="D96">
        <v>248.3</v>
      </c>
      <c r="E96">
        <v>172.4</v>
      </c>
      <c r="F96">
        <v>62.8</v>
      </c>
      <c r="G96">
        <v>11.7</v>
      </c>
      <c r="H96">
        <v>1.5</v>
      </c>
      <c r="I96">
        <v>0</v>
      </c>
      <c r="J96">
        <v>0</v>
      </c>
      <c r="K96">
        <v>116.8</v>
      </c>
      <c r="L96">
        <v>57.7</v>
      </c>
      <c r="M96">
        <v>29.8</v>
      </c>
      <c r="N96">
        <v>9.3000000000000007</v>
      </c>
      <c r="O96">
        <v>7.5</v>
      </c>
      <c r="P96">
        <v>97.7</v>
      </c>
      <c r="Q96">
        <v>54.9</v>
      </c>
      <c r="R96">
        <v>47.9</v>
      </c>
      <c r="S96">
        <v>31.1</v>
      </c>
    </row>
    <row r="97" spans="2:19" ht="15.75" thickBot="1" x14ac:dyDescent="0.3">
      <c r="B97" s="8" t="s">
        <v>55</v>
      </c>
      <c r="C97" s="9">
        <v>2009</v>
      </c>
      <c r="D97">
        <v>277.8</v>
      </c>
      <c r="E97">
        <v>229.7</v>
      </c>
      <c r="F97">
        <v>46.9</v>
      </c>
      <c r="G97">
        <v>1.2</v>
      </c>
      <c r="H97">
        <v>0.1</v>
      </c>
      <c r="I97">
        <v>0</v>
      </c>
      <c r="J97">
        <v>0</v>
      </c>
      <c r="K97">
        <v>85.4</v>
      </c>
      <c r="L97">
        <v>43.7</v>
      </c>
      <c r="M97">
        <v>29.6</v>
      </c>
      <c r="N97">
        <v>0</v>
      </c>
      <c r="O97">
        <v>5.0999999999999996</v>
      </c>
      <c r="P97">
        <v>155.4</v>
      </c>
      <c r="Q97">
        <v>1.2</v>
      </c>
      <c r="R97">
        <v>79.8</v>
      </c>
      <c r="S97">
        <v>36.299999999999997</v>
      </c>
    </row>
    <row r="98" spans="2:19" ht="15.75" thickBot="1" x14ac:dyDescent="0.3">
      <c r="B98" s="10" t="s">
        <v>55</v>
      </c>
      <c r="C98" s="11">
        <v>2019</v>
      </c>
      <c r="D98">
        <v>206.6</v>
      </c>
      <c r="E98">
        <v>133.80000000000001</v>
      </c>
      <c r="F98">
        <v>69.900000000000006</v>
      </c>
      <c r="G98">
        <v>2.2000000000000002</v>
      </c>
      <c r="H98">
        <v>0.3</v>
      </c>
      <c r="I98">
        <v>0.2</v>
      </c>
      <c r="J98">
        <v>0.3</v>
      </c>
      <c r="K98">
        <v>201.2</v>
      </c>
      <c r="L98">
        <v>69.099999999999994</v>
      </c>
      <c r="M98">
        <v>42.8</v>
      </c>
      <c r="N98">
        <v>0</v>
      </c>
      <c r="O98">
        <v>0.8</v>
      </c>
      <c r="P98">
        <v>161.69999999999999</v>
      </c>
      <c r="Q98">
        <v>0.1</v>
      </c>
      <c r="R98">
        <v>22.1</v>
      </c>
      <c r="S98">
        <v>21.9</v>
      </c>
    </row>
    <row r="99" spans="2:19" ht="15.75" thickBot="1" x14ac:dyDescent="0.3">
      <c r="B99" s="6" t="s">
        <v>56</v>
      </c>
      <c r="C99" s="7">
        <v>1999</v>
      </c>
      <c r="D99">
        <v>334.7</v>
      </c>
      <c r="E99">
        <v>244.6</v>
      </c>
      <c r="F99">
        <v>66.400000000000006</v>
      </c>
      <c r="G99">
        <v>17.5</v>
      </c>
      <c r="H99">
        <v>5.6</v>
      </c>
      <c r="I99">
        <v>0.6</v>
      </c>
      <c r="J99">
        <v>0</v>
      </c>
      <c r="K99">
        <v>168.7</v>
      </c>
      <c r="L99">
        <v>80</v>
      </c>
      <c r="M99">
        <v>38.5</v>
      </c>
      <c r="N99">
        <v>7.7</v>
      </c>
      <c r="O99">
        <v>32</v>
      </c>
      <c r="P99">
        <v>210.3</v>
      </c>
      <c r="Q99">
        <v>64.099999999999994</v>
      </c>
      <c r="R99">
        <v>19.7</v>
      </c>
      <c r="S99">
        <v>0.9</v>
      </c>
    </row>
    <row r="100" spans="2:19" ht="15.75" thickBot="1" x14ac:dyDescent="0.3">
      <c r="B100" s="8" t="s">
        <v>56</v>
      </c>
      <c r="C100" s="9">
        <v>2009</v>
      </c>
      <c r="D100">
        <v>344</v>
      </c>
      <c r="E100">
        <v>283.89999999999998</v>
      </c>
      <c r="F100">
        <v>57.4</v>
      </c>
      <c r="G100">
        <v>2.5</v>
      </c>
      <c r="H100">
        <v>0.1</v>
      </c>
      <c r="I100">
        <v>0</v>
      </c>
      <c r="J100">
        <v>0</v>
      </c>
      <c r="K100">
        <v>118.8</v>
      </c>
      <c r="L100">
        <v>55.8</v>
      </c>
      <c r="M100">
        <v>36.1</v>
      </c>
      <c r="N100">
        <v>0.5</v>
      </c>
      <c r="O100">
        <v>12.6</v>
      </c>
      <c r="P100">
        <v>235.2</v>
      </c>
      <c r="Q100">
        <v>4.9000000000000004</v>
      </c>
      <c r="R100">
        <v>90.6</v>
      </c>
      <c r="S100">
        <v>0.2</v>
      </c>
    </row>
    <row r="101" spans="2:19" ht="15.75" thickBot="1" x14ac:dyDescent="0.3">
      <c r="B101" s="10" t="s">
        <v>56</v>
      </c>
      <c r="C101" s="11">
        <v>2019</v>
      </c>
      <c r="D101">
        <v>261.3</v>
      </c>
      <c r="E101">
        <v>237</v>
      </c>
      <c r="F101">
        <v>22.9</v>
      </c>
      <c r="G101">
        <v>1.4</v>
      </c>
      <c r="H101">
        <v>0</v>
      </c>
      <c r="I101">
        <v>0</v>
      </c>
      <c r="J101">
        <v>0</v>
      </c>
      <c r="K101">
        <v>86.5</v>
      </c>
      <c r="L101">
        <v>47.8</v>
      </c>
      <c r="M101">
        <v>33.5</v>
      </c>
      <c r="N101">
        <v>0.3</v>
      </c>
      <c r="O101">
        <v>3.7</v>
      </c>
      <c r="P101">
        <v>179.4</v>
      </c>
      <c r="Q101">
        <v>27.3</v>
      </c>
      <c r="R101">
        <v>50.6</v>
      </c>
      <c r="S101">
        <v>0</v>
      </c>
    </row>
    <row r="102" spans="2:19" ht="15.75" thickBot="1" x14ac:dyDescent="0.3">
      <c r="B102" s="8" t="s">
        <v>57</v>
      </c>
      <c r="C102" s="7">
        <v>1999</v>
      </c>
      <c r="D102">
        <v>219.6</v>
      </c>
      <c r="E102">
        <v>116.1</v>
      </c>
      <c r="F102">
        <v>75.8</v>
      </c>
      <c r="G102">
        <v>20.6</v>
      </c>
      <c r="H102">
        <v>6.6</v>
      </c>
      <c r="I102">
        <v>0.5</v>
      </c>
      <c r="J102">
        <v>0</v>
      </c>
      <c r="K102">
        <v>159</v>
      </c>
      <c r="L102">
        <v>101.4</v>
      </c>
      <c r="M102">
        <v>49.9</v>
      </c>
      <c r="N102">
        <v>7.5</v>
      </c>
      <c r="O102">
        <v>0.8</v>
      </c>
      <c r="P102">
        <v>124.4</v>
      </c>
      <c r="Q102">
        <v>20.6</v>
      </c>
      <c r="R102">
        <v>61.5</v>
      </c>
      <c r="S102">
        <v>4.9000000000000004</v>
      </c>
    </row>
    <row r="103" spans="2:19" ht="15.75" thickBot="1" x14ac:dyDescent="0.3">
      <c r="B103" s="6" t="s">
        <v>57</v>
      </c>
      <c r="C103" s="9">
        <v>2009</v>
      </c>
      <c r="D103">
        <v>266.5</v>
      </c>
      <c r="E103">
        <v>199.1</v>
      </c>
      <c r="F103">
        <v>66.2</v>
      </c>
      <c r="G103">
        <v>1.2</v>
      </c>
      <c r="H103">
        <v>0</v>
      </c>
      <c r="I103">
        <v>0</v>
      </c>
      <c r="J103">
        <v>0</v>
      </c>
      <c r="K103">
        <v>93.4</v>
      </c>
      <c r="L103">
        <v>58.7</v>
      </c>
      <c r="M103">
        <v>38.700000000000003</v>
      </c>
      <c r="N103">
        <v>0</v>
      </c>
      <c r="O103">
        <v>0.4</v>
      </c>
      <c r="P103">
        <v>116.4</v>
      </c>
      <c r="Q103">
        <v>11</v>
      </c>
      <c r="R103">
        <v>137.30000000000001</v>
      </c>
      <c r="S103">
        <v>1.4</v>
      </c>
    </row>
    <row r="104" spans="2:19" ht="15.75" thickBot="1" x14ac:dyDescent="0.3">
      <c r="B104" s="10" t="s">
        <v>57</v>
      </c>
      <c r="C104" s="11">
        <v>2019</v>
      </c>
      <c r="D104">
        <v>229.8</v>
      </c>
      <c r="E104">
        <v>187.9</v>
      </c>
      <c r="F104">
        <v>41.6</v>
      </c>
      <c r="G104">
        <v>0.4</v>
      </c>
      <c r="H104">
        <v>0</v>
      </c>
      <c r="I104">
        <v>0</v>
      </c>
      <c r="J104">
        <v>0</v>
      </c>
      <c r="K104">
        <v>83</v>
      </c>
      <c r="L104">
        <v>55.5</v>
      </c>
      <c r="M104">
        <v>38.9</v>
      </c>
      <c r="N104">
        <v>0</v>
      </c>
      <c r="O104">
        <v>0.1</v>
      </c>
      <c r="P104">
        <v>156.4</v>
      </c>
      <c r="Q104">
        <v>12.9</v>
      </c>
      <c r="R104">
        <v>58.2</v>
      </c>
      <c r="S104">
        <v>2.2000000000000002</v>
      </c>
    </row>
    <row r="105" spans="2:19" ht="15.75" thickBot="1" x14ac:dyDescent="0.3">
      <c r="B105" s="6" t="s">
        <v>58</v>
      </c>
      <c r="C105" s="7">
        <v>1999</v>
      </c>
      <c r="D105">
        <v>318.89999999999998</v>
      </c>
      <c r="E105">
        <v>286.5</v>
      </c>
      <c r="F105">
        <v>28.2</v>
      </c>
      <c r="G105">
        <v>4</v>
      </c>
      <c r="H105">
        <v>0.2</v>
      </c>
      <c r="I105">
        <v>0</v>
      </c>
      <c r="J105">
        <v>0</v>
      </c>
      <c r="K105">
        <v>106.5</v>
      </c>
      <c r="L105">
        <v>48.3</v>
      </c>
      <c r="M105">
        <v>25.8</v>
      </c>
      <c r="N105">
        <v>0</v>
      </c>
      <c r="O105">
        <v>11.6</v>
      </c>
      <c r="P105">
        <v>144.6</v>
      </c>
      <c r="Q105">
        <v>132.6</v>
      </c>
      <c r="R105">
        <v>22.7</v>
      </c>
      <c r="S105">
        <v>7.4</v>
      </c>
    </row>
    <row r="106" spans="2:19" ht="15.75" thickBot="1" x14ac:dyDescent="0.3">
      <c r="B106" s="6" t="s">
        <v>58</v>
      </c>
      <c r="C106" s="9">
        <v>2009</v>
      </c>
      <c r="D106">
        <v>328.7</v>
      </c>
      <c r="E106">
        <v>311.5</v>
      </c>
      <c r="F106">
        <v>16.7</v>
      </c>
      <c r="G106">
        <v>0.5</v>
      </c>
      <c r="H106">
        <v>0</v>
      </c>
      <c r="I106">
        <v>0</v>
      </c>
      <c r="J106">
        <v>0</v>
      </c>
      <c r="K106">
        <v>76.2</v>
      </c>
      <c r="L106">
        <v>44.4</v>
      </c>
      <c r="M106">
        <v>28.9</v>
      </c>
      <c r="N106">
        <v>0</v>
      </c>
      <c r="O106">
        <v>9</v>
      </c>
      <c r="P106">
        <v>254.7</v>
      </c>
      <c r="Q106">
        <v>46.9</v>
      </c>
      <c r="R106">
        <v>17.100000000000001</v>
      </c>
      <c r="S106">
        <v>1</v>
      </c>
    </row>
    <row r="107" spans="2:19" ht="15.75" thickBot="1" x14ac:dyDescent="0.3">
      <c r="B107" s="12" t="s">
        <v>58</v>
      </c>
      <c r="C107" s="11">
        <v>2019</v>
      </c>
      <c r="D107">
        <v>272.8</v>
      </c>
      <c r="E107">
        <v>250</v>
      </c>
      <c r="F107">
        <v>22.5</v>
      </c>
      <c r="G107">
        <v>0.2</v>
      </c>
      <c r="H107">
        <v>0.1</v>
      </c>
      <c r="I107">
        <v>0</v>
      </c>
      <c r="J107">
        <v>0</v>
      </c>
      <c r="K107">
        <v>91.1</v>
      </c>
      <c r="L107">
        <v>49.7</v>
      </c>
      <c r="M107">
        <v>35.9</v>
      </c>
      <c r="N107">
        <v>0.1</v>
      </c>
      <c r="O107">
        <v>2</v>
      </c>
      <c r="P107">
        <v>221</v>
      </c>
      <c r="Q107">
        <v>5.7</v>
      </c>
      <c r="R107">
        <v>42.4</v>
      </c>
      <c r="S107">
        <v>1.6</v>
      </c>
    </row>
    <row r="108" spans="2:19" x14ac:dyDescent="0.25">
      <c r="B108" s="13" t="s">
        <v>59</v>
      </c>
      <c r="C108" s="14">
        <v>1999</v>
      </c>
      <c r="D108">
        <v>262.3</v>
      </c>
      <c r="E108">
        <v>141.69999999999999</v>
      </c>
      <c r="F108">
        <v>85.2</v>
      </c>
      <c r="G108">
        <v>28.2</v>
      </c>
      <c r="H108">
        <v>6.8</v>
      </c>
      <c r="I108">
        <v>0.4</v>
      </c>
      <c r="J108">
        <v>0</v>
      </c>
      <c r="K108">
        <v>167.6</v>
      </c>
      <c r="L108">
        <v>100.2</v>
      </c>
      <c r="M108">
        <v>43.3</v>
      </c>
      <c r="N108">
        <v>0.3</v>
      </c>
      <c r="O108">
        <v>0.9</v>
      </c>
      <c r="P108">
        <v>113.4</v>
      </c>
      <c r="Q108">
        <v>77.3</v>
      </c>
      <c r="R108">
        <v>48.2</v>
      </c>
      <c r="S108">
        <v>22.3</v>
      </c>
    </row>
    <row r="109" spans="2:19" x14ac:dyDescent="0.25">
      <c r="B109" s="13" t="s">
        <v>59</v>
      </c>
      <c r="C109" s="15">
        <v>2009</v>
      </c>
      <c r="D109">
        <v>299</v>
      </c>
      <c r="E109">
        <v>224</v>
      </c>
      <c r="F109">
        <v>69.2</v>
      </c>
      <c r="G109">
        <v>5.6</v>
      </c>
      <c r="H109">
        <v>0.3</v>
      </c>
      <c r="I109">
        <v>0</v>
      </c>
      <c r="J109">
        <v>0</v>
      </c>
      <c r="K109">
        <v>119.2</v>
      </c>
      <c r="L109">
        <v>64.599999999999994</v>
      </c>
      <c r="M109">
        <v>36.299999999999997</v>
      </c>
      <c r="N109">
        <v>4.2</v>
      </c>
      <c r="O109">
        <v>2.1</v>
      </c>
      <c r="P109">
        <v>138.30000000000001</v>
      </c>
      <c r="Q109">
        <v>83</v>
      </c>
      <c r="R109">
        <v>61.1</v>
      </c>
      <c r="S109">
        <v>10.3</v>
      </c>
    </row>
    <row r="110" spans="2:19" x14ac:dyDescent="0.25">
      <c r="B110" s="12" t="s">
        <v>59</v>
      </c>
      <c r="C110" s="16">
        <v>2019</v>
      </c>
      <c r="D110">
        <v>225.5</v>
      </c>
      <c r="E110">
        <v>183.4</v>
      </c>
      <c r="F110">
        <v>41.3</v>
      </c>
      <c r="G110">
        <v>0.9</v>
      </c>
      <c r="H110">
        <v>0</v>
      </c>
      <c r="I110">
        <v>0</v>
      </c>
      <c r="J110">
        <v>0</v>
      </c>
      <c r="K110">
        <v>90.4</v>
      </c>
      <c r="L110">
        <v>53</v>
      </c>
      <c r="M110">
        <v>36.700000000000003</v>
      </c>
      <c r="N110">
        <v>4</v>
      </c>
      <c r="O110">
        <v>4.0999999999999996</v>
      </c>
      <c r="P110">
        <v>133.30000000000001</v>
      </c>
      <c r="Q110">
        <v>20.6</v>
      </c>
      <c r="R110">
        <v>58.9</v>
      </c>
      <c r="S110">
        <v>4.5999999999999996</v>
      </c>
    </row>
    <row r="111" spans="2:19" x14ac:dyDescent="0.25">
      <c r="B111" s="13" t="s">
        <v>60</v>
      </c>
      <c r="C111" s="14">
        <v>1999</v>
      </c>
      <c r="D111">
        <v>222</v>
      </c>
      <c r="E111">
        <v>166.6</v>
      </c>
      <c r="F111">
        <v>40.1</v>
      </c>
      <c r="G111">
        <v>13</v>
      </c>
      <c r="H111">
        <v>2.2999999999999998</v>
      </c>
      <c r="I111">
        <v>0</v>
      </c>
      <c r="J111">
        <v>0</v>
      </c>
      <c r="K111">
        <v>129.19999999999999</v>
      </c>
      <c r="L111">
        <v>75.5</v>
      </c>
      <c r="M111">
        <v>37.700000000000003</v>
      </c>
      <c r="N111">
        <v>0.4</v>
      </c>
      <c r="O111">
        <v>51</v>
      </c>
      <c r="P111">
        <v>112.3</v>
      </c>
      <c r="Q111">
        <v>32.700000000000003</v>
      </c>
      <c r="R111">
        <v>22.1</v>
      </c>
      <c r="S111">
        <v>3.6</v>
      </c>
    </row>
    <row r="112" spans="2:19" x14ac:dyDescent="0.25">
      <c r="B112" s="13" t="s">
        <v>60</v>
      </c>
      <c r="C112" s="15">
        <v>2009</v>
      </c>
      <c r="D112">
        <v>335.4</v>
      </c>
      <c r="E112">
        <v>242</v>
      </c>
      <c r="F112">
        <v>90.4</v>
      </c>
      <c r="G112">
        <v>2.9</v>
      </c>
      <c r="H112">
        <v>0.2</v>
      </c>
      <c r="I112">
        <v>0</v>
      </c>
      <c r="J112">
        <v>0</v>
      </c>
      <c r="K112">
        <v>112.3</v>
      </c>
      <c r="L112">
        <v>62.3</v>
      </c>
      <c r="M112">
        <v>39.200000000000003</v>
      </c>
      <c r="N112">
        <v>0</v>
      </c>
      <c r="O112">
        <v>3.6</v>
      </c>
      <c r="P112">
        <v>196</v>
      </c>
      <c r="Q112">
        <v>20.399999999999999</v>
      </c>
      <c r="R112">
        <v>104.9</v>
      </c>
      <c r="S112">
        <v>10.4</v>
      </c>
    </row>
    <row r="113" spans="2:19" x14ac:dyDescent="0.25">
      <c r="B113" s="12" t="s">
        <v>60</v>
      </c>
      <c r="C113" s="16">
        <v>2019</v>
      </c>
      <c r="D113">
        <v>232.4</v>
      </c>
      <c r="E113">
        <v>186.9</v>
      </c>
      <c r="F113">
        <v>45.1</v>
      </c>
      <c r="G113">
        <v>0.4</v>
      </c>
      <c r="H113">
        <v>0</v>
      </c>
      <c r="I113">
        <v>0</v>
      </c>
      <c r="J113">
        <v>0</v>
      </c>
      <c r="K113">
        <v>96.1</v>
      </c>
      <c r="L113">
        <v>53.4</v>
      </c>
      <c r="M113">
        <v>35.700000000000003</v>
      </c>
      <c r="N113">
        <v>0.1</v>
      </c>
      <c r="O113">
        <v>0.7</v>
      </c>
      <c r="P113">
        <v>133.4</v>
      </c>
      <c r="Q113">
        <v>21.4</v>
      </c>
      <c r="R113">
        <v>59.3</v>
      </c>
      <c r="S113">
        <v>17.5</v>
      </c>
    </row>
    <row r="114" spans="2:19" x14ac:dyDescent="0.25">
      <c r="B114" s="13" t="s">
        <v>61</v>
      </c>
      <c r="C114" s="14">
        <v>1999</v>
      </c>
      <c r="D114">
        <v>226.5</v>
      </c>
      <c r="E114">
        <v>179.7</v>
      </c>
      <c r="F114">
        <v>42.6</v>
      </c>
      <c r="G114">
        <v>3.3</v>
      </c>
      <c r="H114">
        <v>0.9</v>
      </c>
      <c r="I114">
        <v>0</v>
      </c>
      <c r="J114">
        <v>0</v>
      </c>
      <c r="K114">
        <v>118.5</v>
      </c>
      <c r="L114">
        <v>60.9</v>
      </c>
      <c r="M114">
        <v>31.5</v>
      </c>
      <c r="N114">
        <v>33.799999999999997</v>
      </c>
      <c r="O114">
        <v>1.4</v>
      </c>
      <c r="P114">
        <v>39.700000000000003</v>
      </c>
      <c r="Q114">
        <v>0</v>
      </c>
      <c r="R114">
        <v>125.6</v>
      </c>
      <c r="S114">
        <v>26</v>
      </c>
    </row>
    <row r="115" spans="2:19" x14ac:dyDescent="0.25">
      <c r="B115" s="13" t="s">
        <v>61</v>
      </c>
      <c r="C115" s="15">
        <v>2009</v>
      </c>
      <c r="D115">
        <v>356.3</v>
      </c>
      <c r="E115">
        <v>279.8</v>
      </c>
      <c r="F115">
        <v>72.3</v>
      </c>
      <c r="G115">
        <v>3.6</v>
      </c>
      <c r="H115">
        <v>0.7</v>
      </c>
      <c r="I115">
        <v>0</v>
      </c>
      <c r="J115">
        <v>0</v>
      </c>
      <c r="K115">
        <v>125.1</v>
      </c>
      <c r="L115">
        <v>62.6</v>
      </c>
      <c r="M115">
        <v>30.3</v>
      </c>
      <c r="N115">
        <v>0</v>
      </c>
      <c r="O115">
        <v>0.5</v>
      </c>
      <c r="P115">
        <v>49.7</v>
      </c>
      <c r="Q115">
        <v>0</v>
      </c>
      <c r="R115">
        <v>305.8</v>
      </c>
      <c r="S115">
        <v>0.3</v>
      </c>
    </row>
    <row r="116" spans="2:19" x14ac:dyDescent="0.25">
      <c r="B116" s="12" t="s">
        <v>61</v>
      </c>
      <c r="C116" s="16">
        <v>2019</v>
      </c>
      <c r="D116">
        <v>108.2</v>
      </c>
      <c r="E116">
        <v>91.5</v>
      </c>
      <c r="F116">
        <v>16.3</v>
      </c>
      <c r="G116">
        <v>0.5</v>
      </c>
      <c r="H116">
        <v>0</v>
      </c>
      <c r="I116">
        <v>0</v>
      </c>
      <c r="J116">
        <v>0</v>
      </c>
      <c r="K116">
        <v>85.2</v>
      </c>
      <c r="L116">
        <v>53.2</v>
      </c>
      <c r="M116">
        <v>30.1</v>
      </c>
      <c r="N116">
        <v>0.3</v>
      </c>
      <c r="O116">
        <v>1.5</v>
      </c>
      <c r="P116">
        <v>28.1</v>
      </c>
      <c r="Q116">
        <v>0</v>
      </c>
      <c r="R116">
        <v>77.900000000000006</v>
      </c>
      <c r="S116">
        <v>0.4</v>
      </c>
    </row>
    <row r="117" spans="2:19" x14ac:dyDescent="0.25">
      <c r="B117" s="17" t="s">
        <v>62</v>
      </c>
      <c r="C117" s="14">
        <v>1999</v>
      </c>
      <c r="D117">
        <v>323.60000000000002</v>
      </c>
      <c r="E117">
        <v>175.2</v>
      </c>
      <c r="F117">
        <v>102.5</v>
      </c>
      <c r="G117">
        <v>33.299999999999997</v>
      </c>
      <c r="H117">
        <v>11.3</v>
      </c>
      <c r="I117">
        <v>1.3</v>
      </c>
      <c r="J117">
        <v>0</v>
      </c>
      <c r="K117">
        <v>195.7</v>
      </c>
      <c r="L117">
        <v>109.5</v>
      </c>
      <c r="M117">
        <v>50.3</v>
      </c>
      <c r="N117">
        <v>1.3</v>
      </c>
      <c r="O117">
        <v>54.3</v>
      </c>
      <c r="P117">
        <v>141</v>
      </c>
      <c r="Q117">
        <v>84.9</v>
      </c>
      <c r="R117">
        <v>41.8</v>
      </c>
      <c r="S117">
        <v>0.2</v>
      </c>
    </row>
    <row r="118" spans="2:19" x14ac:dyDescent="0.25">
      <c r="B118" s="17" t="s">
        <v>62</v>
      </c>
      <c r="C118" s="15">
        <v>2009</v>
      </c>
      <c r="D118">
        <v>332.2</v>
      </c>
      <c r="E118">
        <v>219.1</v>
      </c>
      <c r="F118">
        <v>107.1</v>
      </c>
      <c r="G118">
        <v>5.8</v>
      </c>
      <c r="H118">
        <v>0.2</v>
      </c>
      <c r="I118">
        <v>0</v>
      </c>
      <c r="J118">
        <v>0</v>
      </c>
      <c r="K118">
        <v>118.3</v>
      </c>
      <c r="L118">
        <v>67.3</v>
      </c>
      <c r="M118">
        <v>41.8</v>
      </c>
      <c r="N118">
        <v>0.1</v>
      </c>
      <c r="O118">
        <v>11.4</v>
      </c>
      <c r="P118">
        <v>123.1</v>
      </c>
      <c r="Q118">
        <v>36.799999999999997</v>
      </c>
      <c r="R118">
        <v>148.1</v>
      </c>
      <c r="S118">
        <v>12.8</v>
      </c>
    </row>
    <row r="119" spans="2:19" x14ac:dyDescent="0.25">
      <c r="B119" s="12" t="s">
        <v>62</v>
      </c>
      <c r="C119" s="16">
        <v>2019</v>
      </c>
      <c r="D119">
        <v>207.9</v>
      </c>
      <c r="E119">
        <v>173.2</v>
      </c>
      <c r="F119">
        <v>33.299999999999997</v>
      </c>
      <c r="G119">
        <v>1.2</v>
      </c>
      <c r="H119">
        <v>0.2</v>
      </c>
      <c r="I119">
        <v>0</v>
      </c>
      <c r="J119">
        <v>0</v>
      </c>
      <c r="K119">
        <v>101.2</v>
      </c>
      <c r="L119">
        <v>55.7</v>
      </c>
      <c r="M119">
        <v>39.4</v>
      </c>
      <c r="N119">
        <v>0.1</v>
      </c>
      <c r="O119">
        <v>1.4</v>
      </c>
      <c r="P119">
        <v>151.6</v>
      </c>
      <c r="Q119">
        <v>5.3</v>
      </c>
      <c r="R119">
        <v>49.5</v>
      </c>
      <c r="S119">
        <v>0.1</v>
      </c>
    </row>
    <row r="120" spans="2:19" x14ac:dyDescent="0.25">
      <c r="B120" s="13" t="s">
        <v>63</v>
      </c>
      <c r="C120" s="14">
        <v>1999</v>
      </c>
      <c r="D120">
        <v>163.30000000000001</v>
      </c>
      <c r="E120">
        <v>132.1</v>
      </c>
      <c r="F120">
        <v>30.5</v>
      </c>
      <c r="G120">
        <v>0.7</v>
      </c>
      <c r="H120">
        <v>0.1</v>
      </c>
      <c r="I120">
        <v>0</v>
      </c>
      <c r="J120">
        <v>0</v>
      </c>
      <c r="K120">
        <v>79.400000000000006</v>
      </c>
      <c r="L120">
        <v>50.5</v>
      </c>
      <c r="M120">
        <v>27.1</v>
      </c>
      <c r="N120">
        <v>11.4</v>
      </c>
      <c r="O120">
        <v>5.0999999999999996</v>
      </c>
      <c r="P120">
        <v>8.5</v>
      </c>
      <c r="Q120">
        <v>38.700000000000003</v>
      </c>
      <c r="R120">
        <v>55.9</v>
      </c>
      <c r="S120">
        <v>43.8</v>
      </c>
    </row>
    <row r="121" spans="2:19" x14ac:dyDescent="0.25">
      <c r="B121" s="13" t="s">
        <v>63</v>
      </c>
      <c r="C121" s="15">
        <v>2009</v>
      </c>
      <c r="D121">
        <v>270.7</v>
      </c>
      <c r="E121">
        <v>265.7</v>
      </c>
      <c r="F121">
        <v>4.7</v>
      </c>
      <c r="G121">
        <v>0.1</v>
      </c>
      <c r="H121">
        <v>0.2</v>
      </c>
      <c r="I121">
        <v>0</v>
      </c>
      <c r="J121">
        <v>0</v>
      </c>
      <c r="K121">
        <v>84.7</v>
      </c>
      <c r="L121">
        <v>30.3</v>
      </c>
      <c r="M121">
        <v>16.5</v>
      </c>
      <c r="N121">
        <v>46.2</v>
      </c>
      <c r="O121">
        <v>0</v>
      </c>
      <c r="P121">
        <v>44.1</v>
      </c>
      <c r="Q121">
        <v>101.3</v>
      </c>
      <c r="R121">
        <v>40.9</v>
      </c>
      <c r="S121">
        <v>38.299999999999997</v>
      </c>
    </row>
    <row r="122" spans="2:19" x14ac:dyDescent="0.25">
      <c r="B122" s="12" t="s">
        <v>63</v>
      </c>
      <c r="C122" s="16">
        <v>2019</v>
      </c>
      <c r="D122">
        <v>115</v>
      </c>
      <c r="E122">
        <v>89</v>
      </c>
      <c r="F122">
        <v>19</v>
      </c>
      <c r="G122">
        <v>2.2000000000000002</v>
      </c>
      <c r="H122">
        <v>0.2</v>
      </c>
      <c r="I122">
        <v>2.6</v>
      </c>
      <c r="J122">
        <v>2</v>
      </c>
      <c r="K122">
        <v>112.5</v>
      </c>
      <c r="L122">
        <v>69.8</v>
      </c>
      <c r="M122">
        <v>27.2</v>
      </c>
      <c r="N122">
        <v>22.3</v>
      </c>
      <c r="O122">
        <v>13.3</v>
      </c>
      <c r="P122">
        <v>9.8000000000000007</v>
      </c>
      <c r="Q122">
        <v>10.3</v>
      </c>
      <c r="R122">
        <v>55.5</v>
      </c>
      <c r="S122">
        <v>3.8</v>
      </c>
    </row>
    <row r="123" spans="2:19" x14ac:dyDescent="0.25">
      <c r="B123" s="17" t="s">
        <v>64</v>
      </c>
      <c r="C123" s="14">
        <v>1999</v>
      </c>
      <c r="D123">
        <v>257</v>
      </c>
      <c r="E123">
        <v>177</v>
      </c>
      <c r="F123">
        <v>61.7</v>
      </c>
      <c r="G123">
        <v>12</v>
      </c>
      <c r="H123">
        <v>5.3</v>
      </c>
      <c r="I123">
        <v>1</v>
      </c>
      <c r="J123">
        <v>0</v>
      </c>
      <c r="K123">
        <v>199.7</v>
      </c>
      <c r="L123">
        <v>89.3</v>
      </c>
      <c r="M123">
        <v>41.3</v>
      </c>
      <c r="N123">
        <v>0.7</v>
      </c>
      <c r="O123">
        <v>44</v>
      </c>
      <c r="P123">
        <v>111</v>
      </c>
      <c r="Q123">
        <v>13.7</v>
      </c>
      <c r="R123">
        <v>82</v>
      </c>
      <c r="S123">
        <v>5.7</v>
      </c>
    </row>
    <row r="124" spans="2:19" x14ac:dyDescent="0.25">
      <c r="B124" s="17" t="s">
        <v>64</v>
      </c>
      <c r="C124" s="15">
        <v>2009</v>
      </c>
      <c r="D124">
        <v>289.7</v>
      </c>
      <c r="E124">
        <v>234.3</v>
      </c>
      <c r="F124">
        <v>52.7</v>
      </c>
      <c r="G124">
        <v>2.7</v>
      </c>
      <c r="H124">
        <v>0</v>
      </c>
      <c r="I124">
        <v>0</v>
      </c>
      <c r="J124">
        <v>0</v>
      </c>
      <c r="K124">
        <v>115.3</v>
      </c>
      <c r="L124">
        <v>60.3</v>
      </c>
      <c r="M124">
        <v>36.299999999999997</v>
      </c>
      <c r="N124">
        <v>0</v>
      </c>
      <c r="O124">
        <v>11</v>
      </c>
      <c r="P124">
        <v>152.30000000000001</v>
      </c>
      <c r="Q124">
        <v>0.3</v>
      </c>
      <c r="R124">
        <v>122.3</v>
      </c>
      <c r="S124">
        <v>3.7</v>
      </c>
    </row>
    <row r="125" spans="2:19" x14ac:dyDescent="0.25">
      <c r="B125" s="12" t="s">
        <v>64</v>
      </c>
      <c r="C125" s="16">
        <v>2019</v>
      </c>
      <c r="D125">
        <v>189</v>
      </c>
      <c r="E125">
        <v>172</v>
      </c>
      <c r="F125">
        <v>16.7</v>
      </c>
      <c r="G125">
        <v>0.3</v>
      </c>
      <c r="H125">
        <v>0</v>
      </c>
      <c r="I125">
        <v>0</v>
      </c>
      <c r="J125">
        <v>0</v>
      </c>
      <c r="K125">
        <v>92</v>
      </c>
      <c r="L125">
        <v>50</v>
      </c>
      <c r="M125">
        <v>40.700000000000003</v>
      </c>
      <c r="N125">
        <v>0.3</v>
      </c>
      <c r="O125">
        <v>4</v>
      </c>
      <c r="P125">
        <v>116</v>
      </c>
      <c r="Q125">
        <v>0</v>
      </c>
      <c r="R125">
        <v>66.7</v>
      </c>
      <c r="S125">
        <v>2</v>
      </c>
    </row>
    <row r="126" spans="2:19" x14ac:dyDescent="0.25">
      <c r="B126" s="13" t="s">
        <v>65</v>
      </c>
      <c r="C126" s="14">
        <v>1999</v>
      </c>
      <c r="D126">
        <v>278.3</v>
      </c>
      <c r="E126">
        <v>159.9</v>
      </c>
      <c r="F126">
        <v>89.7</v>
      </c>
      <c r="G126">
        <v>24.1</v>
      </c>
      <c r="H126">
        <v>4.4000000000000004</v>
      </c>
      <c r="I126">
        <v>0.2</v>
      </c>
      <c r="J126">
        <v>0</v>
      </c>
      <c r="K126">
        <v>162.80000000000001</v>
      </c>
      <c r="L126">
        <v>97.4</v>
      </c>
      <c r="M126">
        <v>46.8</v>
      </c>
      <c r="N126">
        <v>0.3</v>
      </c>
      <c r="O126">
        <v>11</v>
      </c>
      <c r="P126">
        <v>183.2</v>
      </c>
      <c r="Q126">
        <v>8.4</v>
      </c>
      <c r="R126">
        <v>53.9</v>
      </c>
      <c r="S126">
        <v>21.6</v>
      </c>
    </row>
    <row r="127" spans="2:19" x14ac:dyDescent="0.25">
      <c r="B127" s="17" t="s">
        <v>65</v>
      </c>
      <c r="C127" s="15">
        <v>2009</v>
      </c>
      <c r="D127">
        <v>319</v>
      </c>
      <c r="E127">
        <v>262.2</v>
      </c>
      <c r="F127">
        <v>56.3</v>
      </c>
      <c r="G127">
        <v>0.5</v>
      </c>
      <c r="H127">
        <v>0</v>
      </c>
      <c r="I127">
        <v>0</v>
      </c>
      <c r="J127">
        <v>0</v>
      </c>
      <c r="K127">
        <v>86.9</v>
      </c>
      <c r="L127">
        <v>53</v>
      </c>
      <c r="M127">
        <v>36.700000000000003</v>
      </c>
      <c r="N127">
        <v>0</v>
      </c>
      <c r="O127">
        <v>0.9</v>
      </c>
      <c r="P127">
        <v>216.8</v>
      </c>
      <c r="Q127">
        <v>2.6</v>
      </c>
      <c r="R127">
        <v>71.8</v>
      </c>
      <c r="S127">
        <v>27</v>
      </c>
    </row>
    <row r="128" spans="2:19" x14ac:dyDescent="0.25">
      <c r="B128" s="12" t="s">
        <v>65</v>
      </c>
      <c r="C128" s="16">
        <v>2019</v>
      </c>
      <c r="D128">
        <v>224.9</v>
      </c>
      <c r="E128">
        <v>172.6</v>
      </c>
      <c r="F128">
        <v>51.4</v>
      </c>
      <c r="G128">
        <v>0.8</v>
      </c>
      <c r="H128">
        <v>0</v>
      </c>
      <c r="I128">
        <v>0</v>
      </c>
      <c r="J128">
        <v>0</v>
      </c>
      <c r="K128">
        <v>95.2</v>
      </c>
      <c r="L128">
        <v>59.6</v>
      </c>
      <c r="M128">
        <v>39.700000000000003</v>
      </c>
      <c r="N128">
        <v>0.1</v>
      </c>
      <c r="O128">
        <v>0.1</v>
      </c>
      <c r="P128">
        <v>157.30000000000001</v>
      </c>
      <c r="Q128">
        <v>1.4</v>
      </c>
      <c r="R128">
        <v>59.3</v>
      </c>
      <c r="S128">
        <v>6.7</v>
      </c>
    </row>
    <row r="129" spans="2:19" x14ac:dyDescent="0.25">
      <c r="B129" s="13" t="s">
        <v>66</v>
      </c>
      <c r="C129" s="14">
        <v>1999</v>
      </c>
      <c r="D129">
        <v>196.3</v>
      </c>
      <c r="E129">
        <v>159.80000000000001</v>
      </c>
      <c r="F129">
        <v>35.799999999999997</v>
      </c>
      <c r="G129">
        <v>0.8</v>
      </c>
      <c r="H129">
        <v>0</v>
      </c>
      <c r="I129">
        <v>0</v>
      </c>
      <c r="J129">
        <v>0</v>
      </c>
      <c r="K129">
        <v>96.8</v>
      </c>
      <c r="L129">
        <v>52.5</v>
      </c>
      <c r="M129">
        <v>29</v>
      </c>
      <c r="N129">
        <v>0</v>
      </c>
      <c r="O129">
        <v>0</v>
      </c>
      <c r="P129">
        <v>55.5</v>
      </c>
      <c r="Q129">
        <v>0</v>
      </c>
      <c r="R129">
        <v>85.3</v>
      </c>
      <c r="S129">
        <v>55.5</v>
      </c>
    </row>
    <row r="130" spans="2:19" x14ac:dyDescent="0.25">
      <c r="B130" s="13" t="s">
        <v>66</v>
      </c>
      <c r="C130" s="15">
        <v>2009</v>
      </c>
      <c r="D130">
        <v>336.7</v>
      </c>
      <c r="E130">
        <v>294.39999999999998</v>
      </c>
      <c r="F130">
        <v>41.3</v>
      </c>
      <c r="G130">
        <v>0.6</v>
      </c>
      <c r="H130">
        <v>0.2</v>
      </c>
      <c r="I130">
        <v>0</v>
      </c>
      <c r="J130">
        <v>0.1</v>
      </c>
      <c r="K130">
        <v>124.8</v>
      </c>
      <c r="L130">
        <v>52.2</v>
      </c>
      <c r="M130">
        <v>33.4</v>
      </c>
      <c r="N130">
        <v>0</v>
      </c>
      <c r="O130">
        <v>0.8</v>
      </c>
      <c r="P130">
        <v>176</v>
      </c>
      <c r="Q130">
        <v>0</v>
      </c>
      <c r="R130">
        <v>104.7</v>
      </c>
      <c r="S130">
        <v>55.2</v>
      </c>
    </row>
    <row r="131" spans="2:19" x14ac:dyDescent="0.25">
      <c r="B131" s="12" t="s">
        <v>66</v>
      </c>
      <c r="C131" s="16">
        <v>2019</v>
      </c>
      <c r="D131">
        <v>168</v>
      </c>
      <c r="E131">
        <v>142.9</v>
      </c>
      <c r="F131">
        <v>24.1</v>
      </c>
      <c r="G131">
        <v>1</v>
      </c>
      <c r="H131">
        <v>0</v>
      </c>
      <c r="I131">
        <v>0</v>
      </c>
      <c r="J131">
        <v>0</v>
      </c>
      <c r="K131">
        <v>89.5</v>
      </c>
      <c r="L131">
        <v>55.3</v>
      </c>
      <c r="M131">
        <v>34.700000000000003</v>
      </c>
      <c r="N131">
        <v>0.1</v>
      </c>
      <c r="O131">
        <v>1.9</v>
      </c>
      <c r="P131">
        <v>95.3</v>
      </c>
      <c r="Q131">
        <v>0</v>
      </c>
      <c r="R131">
        <v>54.2</v>
      </c>
      <c r="S131">
        <v>16.5</v>
      </c>
    </row>
    <row r="132" spans="2:19" x14ac:dyDescent="0.25">
      <c r="B132" s="17" t="s">
        <v>67</v>
      </c>
      <c r="C132" s="14">
        <v>1999</v>
      </c>
      <c r="D132">
        <v>279.89999999999998</v>
      </c>
      <c r="E132">
        <v>145.69999999999999</v>
      </c>
      <c r="F132">
        <v>82.6</v>
      </c>
      <c r="G132">
        <v>39.4</v>
      </c>
      <c r="H132">
        <v>11.5</v>
      </c>
      <c r="I132">
        <v>0.6</v>
      </c>
      <c r="J132">
        <v>0</v>
      </c>
      <c r="K132">
        <v>170.6</v>
      </c>
      <c r="L132">
        <v>108.1</v>
      </c>
      <c r="M132">
        <v>50</v>
      </c>
      <c r="N132">
        <v>3.1</v>
      </c>
      <c r="O132">
        <v>15.3</v>
      </c>
      <c r="P132">
        <v>123.2</v>
      </c>
      <c r="Q132">
        <v>89.6</v>
      </c>
      <c r="R132">
        <v>32.1</v>
      </c>
      <c r="S132">
        <v>16.600000000000001</v>
      </c>
    </row>
    <row r="133" spans="2:19" x14ac:dyDescent="0.25">
      <c r="B133" s="17" t="s">
        <v>67</v>
      </c>
      <c r="C133" s="15">
        <v>2009</v>
      </c>
      <c r="D133">
        <v>286.10000000000002</v>
      </c>
      <c r="E133">
        <v>224.9</v>
      </c>
      <c r="F133">
        <v>56.6</v>
      </c>
      <c r="G133">
        <v>4.5999999999999996</v>
      </c>
      <c r="H133">
        <v>0</v>
      </c>
      <c r="I133">
        <v>0</v>
      </c>
      <c r="J133">
        <v>0</v>
      </c>
      <c r="K133">
        <v>111.7</v>
      </c>
      <c r="L133">
        <v>56.8</v>
      </c>
      <c r="M133">
        <v>33.4</v>
      </c>
      <c r="N133">
        <v>0</v>
      </c>
      <c r="O133">
        <v>17.2</v>
      </c>
      <c r="P133">
        <v>141.5</v>
      </c>
      <c r="Q133">
        <v>45.8</v>
      </c>
      <c r="R133">
        <v>47.4</v>
      </c>
      <c r="S133">
        <v>34.200000000000003</v>
      </c>
    </row>
    <row r="134" spans="2:19" x14ac:dyDescent="0.25">
      <c r="B134" s="12" t="s">
        <v>67</v>
      </c>
      <c r="C134" s="16">
        <v>2019</v>
      </c>
      <c r="D134">
        <v>187.3</v>
      </c>
      <c r="E134">
        <v>155.1</v>
      </c>
      <c r="F134">
        <v>31.4</v>
      </c>
      <c r="G134">
        <v>0.7</v>
      </c>
      <c r="H134">
        <v>0</v>
      </c>
      <c r="I134">
        <v>0</v>
      </c>
      <c r="J134">
        <v>0</v>
      </c>
      <c r="K134">
        <v>78.400000000000006</v>
      </c>
      <c r="L134">
        <v>55.2</v>
      </c>
      <c r="M134">
        <v>36.6</v>
      </c>
      <c r="N134">
        <v>0.1</v>
      </c>
      <c r="O134">
        <v>1.2</v>
      </c>
      <c r="P134">
        <v>91.8</v>
      </c>
      <c r="Q134">
        <v>6</v>
      </c>
      <c r="R134">
        <v>88.1</v>
      </c>
      <c r="S134">
        <v>0.1</v>
      </c>
    </row>
    <row r="135" spans="2:19" x14ac:dyDescent="0.25">
      <c r="B135" s="13" t="s">
        <v>68</v>
      </c>
      <c r="C135" s="14">
        <v>1999</v>
      </c>
      <c r="D135">
        <v>291.89999999999998</v>
      </c>
      <c r="E135">
        <v>193</v>
      </c>
      <c r="F135">
        <v>69.2</v>
      </c>
      <c r="G135">
        <v>19.899999999999999</v>
      </c>
      <c r="H135">
        <v>7.9</v>
      </c>
      <c r="I135">
        <v>1.9</v>
      </c>
      <c r="J135">
        <v>0</v>
      </c>
      <c r="K135">
        <v>161.80000000000001</v>
      </c>
      <c r="L135">
        <v>88.1</v>
      </c>
      <c r="M135">
        <v>39.200000000000003</v>
      </c>
      <c r="N135">
        <v>3.3</v>
      </c>
      <c r="O135">
        <v>20.2</v>
      </c>
      <c r="P135">
        <v>214.6</v>
      </c>
      <c r="Q135">
        <v>26.7</v>
      </c>
      <c r="R135">
        <v>20.3</v>
      </c>
      <c r="S135">
        <v>6.9</v>
      </c>
    </row>
    <row r="136" spans="2:19" x14ac:dyDescent="0.25">
      <c r="B136" s="13" t="s">
        <v>68</v>
      </c>
      <c r="C136" s="15">
        <v>2009</v>
      </c>
      <c r="D136">
        <v>336.2</v>
      </c>
      <c r="E136">
        <v>248.7</v>
      </c>
      <c r="F136">
        <v>80.8</v>
      </c>
      <c r="G136">
        <v>5.7</v>
      </c>
      <c r="H136">
        <v>0.9</v>
      </c>
      <c r="I136">
        <v>0</v>
      </c>
      <c r="J136">
        <v>0</v>
      </c>
      <c r="K136">
        <v>123.6</v>
      </c>
      <c r="L136">
        <v>65.2</v>
      </c>
      <c r="M136">
        <v>38.700000000000003</v>
      </c>
      <c r="N136">
        <v>0.1</v>
      </c>
      <c r="O136">
        <v>5.0999999999999996</v>
      </c>
      <c r="P136">
        <v>180.3</v>
      </c>
      <c r="Q136">
        <v>3.1</v>
      </c>
      <c r="R136">
        <v>146.4</v>
      </c>
      <c r="S136">
        <v>1.1000000000000001</v>
      </c>
    </row>
    <row r="137" spans="2:19" x14ac:dyDescent="0.25">
      <c r="B137" s="12" t="s">
        <v>68</v>
      </c>
      <c r="C137" s="16">
        <v>2019</v>
      </c>
      <c r="D137">
        <v>193.6</v>
      </c>
      <c r="E137">
        <v>152</v>
      </c>
      <c r="F137">
        <v>38.299999999999997</v>
      </c>
      <c r="G137">
        <v>3</v>
      </c>
      <c r="H137">
        <v>0.3</v>
      </c>
      <c r="I137">
        <v>0</v>
      </c>
      <c r="J137">
        <v>0</v>
      </c>
      <c r="K137">
        <v>107.5</v>
      </c>
      <c r="L137">
        <v>57.1</v>
      </c>
      <c r="M137">
        <v>34.6</v>
      </c>
      <c r="N137">
        <v>0.2</v>
      </c>
      <c r="O137">
        <v>1.1000000000000001</v>
      </c>
      <c r="P137">
        <v>102.2</v>
      </c>
      <c r="Q137">
        <v>33.6</v>
      </c>
      <c r="R137">
        <v>56.4</v>
      </c>
      <c r="S137">
        <v>0.1</v>
      </c>
    </row>
    <row r="138" spans="2:19" x14ac:dyDescent="0.25">
      <c r="B138" s="17" t="s">
        <v>69</v>
      </c>
      <c r="C138" s="14">
        <v>1999</v>
      </c>
      <c r="D138">
        <v>258.60000000000002</v>
      </c>
      <c r="E138">
        <v>147.1</v>
      </c>
      <c r="F138">
        <v>101.2</v>
      </c>
      <c r="G138">
        <v>9.3000000000000007</v>
      </c>
      <c r="H138">
        <v>0.8</v>
      </c>
      <c r="I138">
        <v>0.1</v>
      </c>
      <c r="J138">
        <v>0</v>
      </c>
      <c r="K138">
        <v>123</v>
      </c>
      <c r="L138">
        <v>66.599999999999994</v>
      </c>
      <c r="M138">
        <v>38.9</v>
      </c>
      <c r="N138">
        <v>18</v>
      </c>
      <c r="O138">
        <v>63.1</v>
      </c>
      <c r="P138">
        <v>111</v>
      </c>
      <c r="Q138">
        <v>1</v>
      </c>
      <c r="R138">
        <v>43.4</v>
      </c>
      <c r="S138">
        <v>22</v>
      </c>
    </row>
    <row r="139" spans="2:19" x14ac:dyDescent="0.25">
      <c r="B139" s="13" t="s">
        <v>69</v>
      </c>
      <c r="C139" s="15">
        <v>2009</v>
      </c>
      <c r="D139">
        <v>300.8</v>
      </c>
      <c r="E139">
        <v>183.5</v>
      </c>
      <c r="F139">
        <v>105.7</v>
      </c>
      <c r="G139">
        <v>10</v>
      </c>
      <c r="H139">
        <v>1.6</v>
      </c>
      <c r="I139">
        <v>0</v>
      </c>
      <c r="J139">
        <v>0</v>
      </c>
      <c r="K139">
        <v>139.4</v>
      </c>
      <c r="L139">
        <v>69.2</v>
      </c>
      <c r="M139">
        <v>42</v>
      </c>
      <c r="N139">
        <v>0.1</v>
      </c>
      <c r="O139">
        <v>25</v>
      </c>
      <c r="P139">
        <v>167.4</v>
      </c>
      <c r="Q139">
        <v>1.5</v>
      </c>
      <c r="R139">
        <v>104.3</v>
      </c>
      <c r="S139">
        <v>2.5</v>
      </c>
    </row>
    <row r="140" spans="2:19" x14ac:dyDescent="0.25">
      <c r="B140" s="12" t="s">
        <v>69</v>
      </c>
      <c r="C140" s="16">
        <v>2019</v>
      </c>
      <c r="D140">
        <v>272.10000000000002</v>
      </c>
      <c r="E140">
        <v>192.4</v>
      </c>
      <c r="F140">
        <v>75.400000000000006</v>
      </c>
      <c r="G140">
        <v>3.7</v>
      </c>
      <c r="H140">
        <v>0.6</v>
      </c>
      <c r="I140">
        <v>0.1</v>
      </c>
      <c r="J140">
        <v>0</v>
      </c>
      <c r="K140">
        <v>118.5</v>
      </c>
      <c r="L140">
        <v>66.5</v>
      </c>
      <c r="M140">
        <v>46.1</v>
      </c>
      <c r="N140">
        <v>0.2</v>
      </c>
      <c r="O140">
        <v>9.9</v>
      </c>
      <c r="P140">
        <v>243.4</v>
      </c>
      <c r="Q140">
        <v>0.1</v>
      </c>
      <c r="R140">
        <v>18.399999999999999</v>
      </c>
      <c r="S140">
        <v>0.1</v>
      </c>
    </row>
    <row r="141" spans="2:19" x14ac:dyDescent="0.25">
      <c r="B141" s="17" t="s">
        <v>70</v>
      </c>
      <c r="C141" s="14">
        <v>1999</v>
      </c>
      <c r="D141">
        <v>275.3</v>
      </c>
      <c r="E141">
        <v>214.5</v>
      </c>
      <c r="F141">
        <v>53.5</v>
      </c>
      <c r="G141">
        <v>6.3</v>
      </c>
      <c r="H141">
        <v>1</v>
      </c>
      <c r="I141">
        <v>0</v>
      </c>
      <c r="J141">
        <v>0</v>
      </c>
      <c r="K141">
        <v>138.80000000000001</v>
      </c>
      <c r="L141">
        <v>66.5</v>
      </c>
      <c r="M141">
        <v>35.799999999999997</v>
      </c>
      <c r="N141">
        <v>1</v>
      </c>
      <c r="O141">
        <v>83.3</v>
      </c>
      <c r="P141">
        <v>93.5</v>
      </c>
      <c r="Q141">
        <v>15.8</v>
      </c>
      <c r="R141">
        <v>77.5</v>
      </c>
      <c r="S141">
        <v>4.3</v>
      </c>
    </row>
    <row r="142" spans="2:19" x14ac:dyDescent="0.25">
      <c r="B142" s="17" t="s">
        <v>70</v>
      </c>
      <c r="C142" s="15">
        <v>2009</v>
      </c>
      <c r="D142">
        <v>363</v>
      </c>
      <c r="E142">
        <v>296</v>
      </c>
      <c r="F142">
        <v>65.3</v>
      </c>
      <c r="G142">
        <v>1.7</v>
      </c>
      <c r="H142">
        <v>0</v>
      </c>
      <c r="I142">
        <v>0</v>
      </c>
      <c r="J142">
        <v>0</v>
      </c>
      <c r="K142">
        <v>111</v>
      </c>
      <c r="L142">
        <v>59.7</v>
      </c>
      <c r="M142">
        <v>34.700000000000003</v>
      </c>
      <c r="N142">
        <v>0.3</v>
      </c>
      <c r="O142">
        <v>11.7</v>
      </c>
      <c r="P142">
        <v>156</v>
      </c>
      <c r="Q142">
        <v>2.7</v>
      </c>
      <c r="R142">
        <v>192.3</v>
      </c>
      <c r="S142">
        <v>0</v>
      </c>
    </row>
    <row r="143" spans="2:19" x14ac:dyDescent="0.25">
      <c r="B143" s="12" t="s">
        <v>70</v>
      </c>
      <c r="C143" s="16">
        <v>2019</v>
      </c>
      <c r="D143">
        <v>181.7</v>
      </c>
      <c r="E143">
        <v>167</v>
      </c>
      <c r="F143">
        <v>14.7</v>
      </c>
      <c r="G143">
        <v>0</v>
      </c>
      <c r="H143">
        <v>0</v>
      </c>
      <c r="I143">
        <v>0</v>
      </c>
      <c r="J143">
        <v>0</v>
      </c>
      <c r="K143">
        <v>75</v>
      </c>
      <c r="L143">
        <v>49.7</v>
      </c>
      <c r="M143">
        <v>39.299999999999997</v>
      </c>
      <c r="N143">
        <v>0.7</v>
      </c>
      <c r="O143">
        <v>0</v>
      </c>
      <c r="P143">
        <v>151.69999999999999</v>
      </c>
      <c r="Q143">
        <v>0</v>
      </c>
      <c r="R143">
        <v>29</v>
      </c>
      <c r="S143">
        <v>0.3</v>
      </c>
    </row>
    <row r="144" spans="2:19" x14ac:dyDescent="0.25">
      <c r="B144" s="13" t="s">
        <v>71</v>
      </c>
      <c r="C144" s="14">
        <v>1999</v>
      </c>
      <c r="D144">
        <v>213.4</v>
      </c>
      <c r="E144">
        <v>135.5</v>
      </c>
      <c r="F144">
        <v>55.9</v>
      </c>
      <c r="G144">
        <v>17.100000000000001</v>
      </c>
      <c r="H144">
        <v>4.8</v>
      </c>
      <c r="I144">
        <v>0.2</v>
      </c>
      <c r="J144">
        <v>0</v>
      </c>
      <c r="K144">
        <v>133.69999999999999</v>
      </c>
      <c r="L144">
        <v>83.8</v>
      </c>
      <c r="M144">
        <v>37.9</v>
      </c>
      <c r="N144">
        <v>10.5</v>
      </c>
      <c r="O144">
        <v>38.1</v>
      </c>
      <c r="P144">
        <v>92.8</v>
      </c>
      <c r="Q144">
        <v>18.5</v>
      </c>
      <c r="R144">
        <v>37.700000000000003</v>
      </c>
      <c r="S144">
        <v>16</v>
      </c>
    </row>
    <row r="145" spans="2:19" x14ac:dyDescent="0.25">
      <c r="B145" s="17" t="s">
        <v>71</v>
      </c>
      <c r="C145" s="15">
        <v>2009</v>
      </c>
      <c r="D145">
        <v>235.8</v>
      </c>
      <c r="E145">
        <v>199.2</v>
      </c>
      <c r="F145">
        <v>36.200000000000003</v>
      </c>
      <c r="G145">
        <v>0.4</v>
      </c>
      <c r="H145">
        <v>0</v>
      </c>
      <c r="I145">
        <v>0</v>
      </c>
      <c r="J145">
        <v>0</v>
      </c>
      <c r="K145">
        <v>82.4</v>
      </c>
      <c r="L145">
        <v>48.6</v>
      </c>
      <c r="M145">
        <v>31.4</v>
      </c>
      <c r="N145">
        <v>0.9</v>
      </c>
      <c r="O145">
        <v>39.200000000000003</v>
      </c>
      <c r="P145">
        <v>116.2</v>
      </c>
      <c r="Q145">
        <v>7.4</v>
      </c>
      <c r="R145">
        <v>61.1</v>
      </c>
      <c r="S145">
        <v>11.1</v>
      </c>
    </row>
    <row r="146" spans="2:19" x14ac:dyDescent="0.25">
      <c r="B146" s="12" t="s">
        <v>71</v>
      </c>
      <c r="C146" s="16">
        <v>2019</v>
      </c>
      <c r="D146">
        <v>157.6</v>
      </c>
      <c r="E146">
        <v>145.5</v>
      </c>
      <c r="F146">
        <v>11.9</v>
      </c>
      <c r="G146">
        <v>0.2</v>
      </c>
      <c r="H146">
        <v>0</v>
      </c>
      <c r="I146">
        <v>0</v>
      </c>
      <c r="J146">
        <v>0</v>
      </c>
      <c r="K146">
        <v>71.599999999999994</v>
      </c>
      <c r="L146">
        <v>43</v>
      </c>
      <c r="M146">
        <v>31.3</v>
      </c>
      <c r="N146">
        <v>0.2</v>
      </c>
      <c r="O146">
        <v>14.2</v>
      </c>
      <c r="P146">
        <v>83.1</v>
      </c>
      <c r="Q146">
        <v>15.8</v>
      </c>
      <c r="R146">
        <v>35.700000000000003</v>
      </c>
      <c r="S146">
        <v>8.5</v>
      </c>
    </row>
    <row r="147" spans="2:19" x14ac:dyDescent="0.25">
      <c r="B147" s="13" t="s">
        <v>72</v>
      </c>
      <c r="C147" s="14">
        <v>1999</v>
      </c>
      <c r="D147">
        <v>245</v>
      </c>
      <c r="E147">
        <v>207.9</v>
      </c>
      <c r="F147">
        <v>34.9</v>
      </c>
      <c r="G147">
        <v>1.8</v>
      </c>
      <c r="H147">
        <v>0.4</v>
      </c>
      <c r="I147">
        <v>0</v>
      </c>
      <c r="J147">
        <v>0</v>
      </c>
      <c r="K147">
        <v>115.2</v>
      </c>
      <c r="L147">
        <v>50</v>
      </c>
      <c r="M147">
        <v>27.9</v>
      </c>
      <c r="N147">
        <v>49.7</v>
      </c>
      <c r="O147">
        <v>2</v>
      </c>
      <c r="P147">
        <v>86</v>
      </c>
      <c r="Q147">
        <v>16.8</v>
      </c>
      <c r="R147">
        <v>50.5</v>
      </c>
      <c r="S147">
        <v>40.1</v>
      </c>
    </row>
    <row r="148" spans="2:19" x14ac:dyDescent="0.25">
      <c r="B148" s="17" t="s">
        <v>72</v>
      </c>
      <c r="C148" s="15">
        <v>2009</v>
      </c>
      <c r="D148">
        <v>345.4</v>
      </c>
      <c r="E148">
        <v>290</v>
      </c>
      <c r="F148">
        <v>53.5</v>
      </c>
      <c r="G148">
        <v>1.8</v>
      </c>
      <c r="H148">
        <v>0.2</v>
      </c>
      <c r="I148">
        <v>0</v>
      </c>
      <c r="J148">
        <v>0</v>
      </c>
      <c r="K148">
        <v>94.3</v>
      </c>
      <c r="L148">
        <v>52.6</v>
      </c>
      <c r="M148">
        <v>28</v>
      </c>
      <c r="N148">
        <v>0.2</v>
      </c>
      <c r="O148">
        <v>0.3</v>
      </c>
      <c r="P148">
        <v>32.700000000000003</v>
      </c>
      <c r="Q148">
        <v>0</v>
      </c>
      <c r="R148">
        <v>304.10000000000002</v>
      </c>
      <c r="S148">
        <v>8.1</v>
      </c>
    </row>
    <row r="149" spans="2:19" x14ac:dyDescent="0.25">
      <c r="B149" s="12" t="s">
        <v>72</v>
      </c>
      <c r="C149" s="16">
        <v>2019</v>
      </c>
      <c r="D149">
        <v>206.5</v>
      </c>
      <c r="E149">
        <v>188.3</v>
      </c>
      <c r="F149">
        <v>17.7</v>
      </c>
      <c r="G149">
        <v>0.4</v>
      </c>
      <c r="H149">
        <v>0</v>
      </c>
      <c r="I149">
        <v>0</v>
      </c>
      <c r="J149">
        <v>0</v>
      </c>
      <c r="K149">
        <v>76.2</v>
      </c>
      <c r="L149">
        <v>44.4</v>
      </c>
      <c r="M149">
        <v>23.7</v>
      </c>
      <c r="N149">
        <v>0</v>
      </c>
      <c r="O149">
        <v>1.9</v>
      </c>
      <c r="P149">
        <v>27.2</v>
      </c>
      <c r="Q149">
        <v>3.7</v>
      </c>
      <c r="R149">
        <v>167.5</v>
      </c>
      <c r="S149">
        <v>6.2</v>
      </c>
    </row>
    <row r="150" spans="2:19" x14ac:dyDescent="0.25">
      <c r="B150" s="17" t="s">
        <v>73</v>
      </c>
      <c r="C150" s="14">
        <v>1999</v>
      </c>
      <c r="D150">
        <v>238.5</v>
      </c>
      <c r="E150">
        <v>96.5</v>
      </c>
      <c r="F150">
        <v>94.2</v>
      </c>
      <c r="G150">
        <v>40</v>
      </c>
      <c r="H150">
        <v>7.5</v>
      </c>
      <c r="I150">
        <v>0.2</v>
      </c>
      <c r="J150">
        <v>0</v>
      </c>
      <c r="K150">
        <v>154.9</v>
      </c>
      <c r="L150">
        <v>97.6</v>
      </c>
      <c r="M150">
        <v>51.5</v>
      </c>
      <c r="N150">
        <v>0.8</v>
      </c>
      <c r="O150">
        <v>0.5</v>
      </c>
      <c r="P150">
        <v>46.9</v>
      </c>
      <c r="Q150">
        <v>128.4</v>
      </c>
      <c r="R150">
        <v>57.1</v>
      </c>
      <c r="S150">
        <v>4.8</v>
      </c>
    </row>
    <row r="151" spans="2:19" x14ac:dyDescent="0.25">
      <c r="B151" s="13" t="s">
        <v>73</v>
      </c>
      <c r="C151" s="15">
        <v>2009</v>
      </c>
      <c r="D151">
        <v>275.10000000000002</v>
      </c>
      <c r="E151">
        <v>176.3</v>
      </c>
      <c r="F151">
        <v>89.9</v>
      </c>
      <c r="G151">
        <v>8.4</v>
      </c>
      <c r="H151">
        <v>0.5</v>
      </c>
      <c r="I151">
        <v>0</v>
      </c>
      <c r="J151">
        <v>0</v>
      </c>
      <c r="K151">
        <v>112.6</v>
      </c>
      <c r="L151">
        <v>65.7</v>
      </c>
      <c r="M151">
        <v>42.3</v>
      </c>
      <c r="N151">
        <v>0</v>
      </c>
      <c r="O151">
        <v>0</v>
      </c>
      <c r="P151">
        <v>63.8</v>
      </c>
      <c r="Q151">
        <v>82.1</v>
      </c>
      <c r="R151">
        <v>126.4</v>
      </c>
      <c r="S151">
        <v>2.9</v>
      </c>
    </row>
    <row r="152" spans="2:19" x14ac:dyDescent="0.25">
      <c r="B152" s="12" t="s">
        <v>73</v>
      </c>
      <c r="C152" s="16">
        <v>2019</v>
      </c>
      <c r="D152">
        <v>196.8</v>
      </c>
      <c r="E152">
        <v>180.6</v>
      </c>
      <c r="F152">
        <v>15.3</v>
      </c>
      <c r="G152">
        <v>0.9</v>
      </c>
      <c r="H152">
        <v>0.1</v>
      </c>
      <c r="I152">
        <v>0</v>
      </c>
      <c r="J152">
        <v>0</v>
      </c>
      <c r="K152">
        <v>82.6</v>
      </c>
      <c r="L152">
        <v>48.1</v>
      </c>
      <c r="M152">
        <v>30</v>
      </c>
      <c r="N152">
        <v>0.4</v>
      </c>
      <c r="O152">
        <v>0</v>
      </c>
      <c r="P152">
        <v>116.1</v>
      </c>
      <c r="Q152">
        <v>49.6</v>
      </c>
      <c r="R152">
        <v>26.5</v>
      </c>
      <c r="S152">
        <v>4.3</v>
      </c>
    </row>
    <row r="153" spans="2:19" x14ac:dyDescent="0.25">
      <c r="B153" s="13" t="s">
        <v>74</v>
      </c>
      <c r="C153" s="14">
        <v>1999</v>
      </c>
      <c r="D153">
        <v>242.1</v>
      </c>
      <c r="E153">
        <v>169.7</v>
      </c>
      <c r="F153">
        <v>51.8</v>
      </c>
      <c r="G153">
        <v>14.9</v>
      </c>
      <c r="H153">
        <v>5.6</v>
      </c>
      <c r="I153">
        <v>0.1</v>
      </c>
      <c r="J153">
        <v>0</v>
      </c>
      <c r="K153">
        <v>171.4</v>
      </c>
      <c r="L153">
        <v>90.2</v>
      </c>
      <c r="M153">
        <v>39.1</v>
      </c>
      <c r="N153">
        <v>14.3</v>
      </c>
      <c r="O153">
        <v>1.8</v>
      </c>
      <c r="P153">
        <v>149.9</v>
      </c>
      <c r="Q153">
        <v>29.5</v>
      </c>
      <c r="R153">
        <v>44.6</v>
      </c>
      <c r="S153">
        <v>2</v>
      </c>
    </row>
    <row r="154" spans="2:19" x14ac:dyDescent="0.25">
      <c r="B154" s="13" t="s">
        <v>74</v>
      </c>
      <c r="C154" s="15">
        <v>2009</v>
      </c>
      <c r="D154">
        <v>247.7</v>
      </c>
      <c r="E154">
        <v>202.3</v>
      </c>
      <c r="F154">
        <v>41.8</v>
      </c>
      <c r="G154">
        <v>3.3</v>
      </c>
      <c r="H154">
        <v>0.2</v>
      </c>
      <c r="I154">
        <v>0</v>
      </c>
      <c r="J154">
        <v>0</v>
      </c>
      <c r="K154">
        <v>118</v>
      </c>
      <c r="L154">
        <v>61.2</v>
      </c>
      <c r="M154">
        <v>36.1</v>
      </c>
      <c r="N154">
        <v>0</v>
      </c>
      <c r="O154">
        <v>2.2999999999999998</v>
      </c>
      <c r="P154">
        <v>184.8</v>
      </c>
      <c r="Q154">
        <v>8.9</v>
      </c>
      <c r="R154">
        <v>49.4</v>
      </c>
      <c r="S154">
        <v>2.2000000000000002</v>
      </c>
    </row>
    <row r="155" spans="2:19" x14ac:dyDescent="0.25">
      <c r="B155" s="12" t="s">
        <v>74</v>
      </c>
      <c r="C155" s="16">
        <v>2019</v>
      </c>
      <c r="D155">
        <v>209.1</v>
      </c>
      <c r="E155">
        <v>182.1</v>
      </c>
      <c r="F155">
        <v>26.3</v>
      </c>
      <c r="G155">
        <v>0.6</v>
      </c>
      <c r="H155">
        <v>0</v>
      </c>
      <c r="I155">
        <v>0</v>
      </c>
      <c r="J155">
        <v>0</v>
      </c>
      <c r="K155">
        <v>97.5</v>
      </c>
      <c r="L155">
        <v>52.3</v>
      </c>
      <c r="M155">
        <v>36.799999999999997</v>
      </c>
      <c r="N155">
        <v>0.1</v>
      </c>
      <c r="O155">
        <v>0.3</v>
      </c>
      <c r="P155">
        <v>144.19999999999999</v>
      </c>
      <c r="Q155">
        <v>8.9</v>
      </c>
      <c r="R155">
        <v>55.3</v>
      </c>
      <c r="S155">
        <v>0.3</v>
      </c>
    </row>
    <row r="156" spans="2:19" x14ac:dyDescent="0.25">
      <c r="B156" s="13" t="s">
        <v>75</v>
      </c>
      <c r="C156" s="14">
        <v>1999</v>
      </c>
      <c r="D156">
        <v>139.80000000000001</v>
      </c>
      <c r="E156">
        <v>123.1</v>
      </c>
      <c r="F156">
        <v>15.9</v>
      </c>
      <c r="G156">
        <v>0.4</v>
      </c>
      <c r="H156">
        <v>0</v>
      </c>
      <c r="I156">
        <v>0.1</v>
      </c>
      <c r="J156">
        <v>0.1</v>
      </c>
      <c r="K156">
        <v>111.2</v>
      </c>
      <c r="L156">
        <v>43.2</v>
      </c>
      <c r="M156">
        <v>22.1</v>
      </c>
      <c r="N156">
        <v>0</v>
      </c>
      <c r="O156">
        <v>0</v>
      </c>
      <c r="P156">
        <v>25.1</v>
      </c>
      <c r="Q156">
        <v>0</v>
      </c>
      <c r="R156">
        <v>29.4</v>
      </c>
      <c r="S156">
        <v>85.4</v>
      </c>
    </row>
    <row r="157" spans="2:19" x14ac:dyDescent="0.25">
      <c r="B157" s="13" t="s">
        <v>75</v>
      </c>
      <c r="C157" s="15">
        <v>2009</v>
      </c>
      <c r="D157">
        <v>266.7</v>
      </c>
      <c r="E157">
        <v>230.2</v>
      </c>
      <c r="F157">
        <v>35.4</v>
      </c>
      <c r="G157">
        <v>0.8</v>
      </c>
      <c r="H157">
        <v>0.3</v>
      </c>
      <c r="I157">
        <v>0</v>
      </c>
      <c r="J157">
        <v>0</v>
      </c>
      <c r="K157">
        <v>95.8</v>
      </c>
      <c r="L157">
        <v>44.9</v>
      </c>
      <c r="M157">
        <v>27.7</v>
      </c>
      <c r="N157">
        <v>0.2</v>
      </c>
      <c r="O157">
        <v>1.8</v>
      </c>
      <c r="P157">
        <v>120.4</v>
      </c>
      <c r="Q157">
        <v>19.899999999999999</v>
      </c>
      <c r="R157">
        <v>31.2</v>
      </c>
      <c r="S157">
        <v>93.1</v>
      </c>
    </row>
    <row r="158" spans="2:19" x14ac:dyDescent="0.25">
      <c r="B158" s="12" t="s">
        <v>75</v>
      </c>
      <c r="C158" s="16">
        <v>2019</v>
      </c>
      <c r="D158">
        <v>190.8</v>
      </c>
      <c r="E158">
        <v>159.69999999999999</v>
      </c>
      <c r="F158">
        <v>30.1</v>
      </c>
      <c r="G158">
        <v>0.8</v>
      </c>
      <c r="H158">
        <v>0.2</v>
      </c>
      <c r="I158">
        <v>0</v>
      </c>
      <c r="J158">
        <v>0</v>
      </c>
      <c r="K158">
        <v>96</v>
      </c>
      <c r="L158">
        <v>54.2</v>
      </c>
      <c r="M158">
        <v>39.299999999999997</v>
      </c>
      <c r="N158">
        <v>0.2</v>
      </c>
      <c r="O158">
        <v>0.6</v>
      </c>
      <c r="P158">
        <v>156</v>
      </c>
      <c r="Q158">
        <v>5.8</v>
      </c>
      <c r="R158">
        <v>2.9</v>
      </c>
      <c r="S158">
        <v>25.4</v>
      </c>
    </row>
  </sheetData>
  <customSheetViews>
    <customSheetView guid="{A4CA7F67-F911-4693-95F3-A71028D27F30}" hiddenColumns="1">
      <selection activeCell="K1" sqref="K1:S1048576"/>
      <pageMargins left="0.7" right="0.7" top="0.75" bottom="0.75" header="0.3" footer="0.3"/>
    </customSheetView>
    <customSheetView guid="{32B844FF-781B-4C68-B36E-1D0FD0AC500E}" hiddenColumns="1">
      <selection activeCell="D1" sqref="D1:J1048576"/>
      <pageMargins left="0.7" right="0.7" top="0.75" bottom="0.75" header="0.3" footer="0.3"/>
    </customSheetView>
    <customSheetView guid="{0E180716-8FAC-4A01-B8D4-84509AFAC9BC}"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Bonus</vt:lpstr>
      <vt:lpstr>AbsRel</vt:lpstr>
      <vt:lpstr>EE Macros</vt:lpstr>
      <vt:lpstr>AQI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 Warner</dc:creator>
  <cp:lastModifiedBy>Koby Manning</cp:lastModifiedBy>
  <dcterms:created xsi:type="dcterms:W3CDTF">2017-02-20T16:28:12Z</dcterms:created>
  <dcterms:modified xsi:type="dcterms:W3CDTF">2024-05-08T03:32:24Z</dcterms:modified>
</cp:coreProperties>
</file>