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bd84b6468bc0858/Documents/USF Coursework/ISM 4547 Excel Data Modeling and Business Analytics/Week 13 EE/"/>
    </mc:Choice>
  </mc:AlternateContent>
  <xr:revisionPtr revIDLastSave="0" documentId="13_ncr:1_{C8F923DC-9B0C-4EE9-A9E3-EEB2D0BE4C29}" xr6:coauthVersionLast="47" xr6:coauthVersionMax="47" xr10:uidLastSave="{00000000-0000-0000-0000-000000000000}"/>
  <bookViews>
    <workbookView xWindow="1185" yWindow="120" windowWidth="22980" windowHeight="16080" xr2:uid="{B5735AA3-48E4-4000-ABD4-B23322CC0A2F}"/>
  </bookViews>
  <sheets>
    <sheet name="Ticket Order" sheetId="1" r:id="rId1"/>
    <sheet name="WIP" sheetId="2" r:id="rId2"/>
    <sheet name="Ticket Receipt" sheetId="3" r:id="rId3"/>
    <sheet name="Orders" sheetId="4" r:id="rId4"/>
    <sheet name="WIP Orders" sheetId="5" r:id="rId5"/>
    <sheet name="Order Receipt" sheetId="6" r:id="rId6"/>
  </sheets>
  <definedNames>
    <definedName name="NoTickets">WIP!$A$2:$A$11</definedName>
    <definedName name="PrintReceipt">WIP!$A$26:$G$26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0" i="5" l="1"/>
  <c r="A30" i="5"/>
  <c r="B30" i="5"/>
  <c r="G30" i="5"/>
  <c r="C14" i="4" s="1"/>
  <c r="F30" i="5"/>
  <c r="C12" i="4" s="1"/>
  <c r="E30" i="5"/>
  <c r="C10" i="4" s="1"/>
  <c r="D30" i="5"/>
  <c r="C8" i="4" s="1"/>
  <c r="H30" i="5"/>
  <c r="C30" i="5"/>
  <c r="C4" i="4" s="1"/>
  <c r="C22" i="4" s="1"/>
  <c r="F7" i="4"/>
  <c r="F6" i="4"/>
  <c r="D26" i="2"/>
  <c r="B23" i="2"/>
  <c r="B26" i="2" s="1"/>
  <c r="B22" i="2"/>
  <c r="A26" i="2" s="1"/>
  <c r="B19" i="2"/>
  <c r="F26" i="2" s="1"/>
  <c r="B18" i="2"/>
  <c r="E26" i="2" s="1"/>
  <c r="B16" i="2"/>
  <c r="C26" i="2" s="1"/>
  <c r="C21" i="4" l="1"/>
  <c r="K30" i="5"/>
  <c r="F8" i="4"/>
  <c r="M30" i="5" s="1"/>
  <c r="B20" i="2"/>
  <c r="G26" i="2" s="1"/>
  <c r="C23" i="4" l="1"/>
  <c r="C24" i="4" s="1"/>
  <c r="L30" i="5" s="1"/>
  <c r="I30" i="5"/>
  <c r="B13" i="1"/>
  <c r="J30" i="5" l="1"/>
</calcChain>
</file>

<file path=xl/sharedStrings.xml><?xml version="1.0" encoding="utf-8"?>
<sst xmlns="http://schemas.openxmlformats.org/spreadsheetml/2006/main" count="136" uniqueCount="79">
  <si>
    <t>Ticket Order</t>
  </si>
  <si>
    <t># Tickets</t>
  </si>
  <si>
    <t>Concert Night:</t>
  </si>
  <si>
    <t>(select one)</t>
  </si>
  <si>
    <t>Parking Pass</t>
  </si>
  <si>
    <t>Parking Pass?</t>
  </si>
  <si>
    <t>Total Cost:</t>
  </si>
  <si>
    <t>Name:</t>
  </si>
  <si>
    <t>Phone Number:</t>
  </si>
  <si>
    <t>Koby</t>
  </si>
  <si>
    <t>727 687-4139</t>
  </si>
  <si>
    <t>No_Tickets Drop Down</t>
  </si>
  <si>
    <t>Concert Night - Result</t>
  </si>
  <si>
    <t>Concert Night Lookup</t>
  </si>
  <si>
    <t>Friday</t>
  </si>
  <si>
    <t>Saturday</t>
  </si>
  <si>
    <t>Sunday</t>
  </si>
  <si>
    <t>Parking Pass Check Box</t>
  </si>
  <si>
    <t>Build Receipt</t>
  </si>
  <si>
    <t>Concert Night</t>
  </si>
  <si>
    <t>Number of Tickets:</t>
  </si>
  <si>
    <t>Total Ticket Cost:</t>
  </si>
  <si>
    <t>Phone:</t>
  </si>
  <si>
    <t>Name</t>
  </si>
  <si>
    <t>Phone</t>
  </si>
  <si>
    <t>Ticket Cost</t>
  </si>
  <si>
    <t>Total</t>
  </si>
  <si>
    <t>Receipt</t>
  </si>
  <si>
    <t>Food Order</t>
  </si>
  <si>
    <t>Pickup/Delivery</t>
  </si>
  <si>
    <t>Appetizers</t>
  </si>
  <si>
    <t>Entrees</t>
  </si>
  <si>
    <t>Dessert</t>
  </si>
  <si>
    <t>Cost</t>
  </si>
  <si>
    <t>Date</t>
  </si>
  <si>
    <t>Time</t>
  </si>
  <si>
    <t>Drink</t>
  </si>
  <si>
    <t>Desserts</t>
  </si>
  <si>
    <t>Sides</t>
  </si>
  <si>
    <t>Pretzel Bites</t>
  </si>
  <si>
    <t>Vegetable Platter</t>
  </si>
  <si>
    <t>Fried Pickles</t>
  </si>
  <si>
    <t>Fried Rice</t>
  </si>
  <si>
    <t>Chicken Wings</t>
  </si>
  <si>
    <t>Pizza</t>
  </si>
  <si>
    <t>Fettucine Alfredo</t>
  </si>
  <si>
    <t>NY Style Cheesecake</t>
  </si>
  <si>
    <t>None</t>
  </si>
  <si>
    <t>Vanilla Ice Cream</t>
  </si>
  <si>
    <t>Jell-o Cake</t>
  </si>
  <si>
    <t>French Fries</t>
  </si>
  <si>
    <t>Mac n Cheese</t>
  </si>
  <si>
    <t>Steak</t>
  </si>
  <si>
    <t>Mashed Potatoes</t>
  </si>
  <si>
    <t>Broccoli</t>
  </si>
  <si>
    <t>Receiving Method - Result</t>
  </si>
  <si>
    <t>Receiving Method Lookup</t>
  </si>
  <si>
    <t>Pickup</t>
  </si>
  <si>
    <t>Delivery</t>
  </si>
  <si>
    <t>Appetizer</t>
  </si>
  <si>
    <t>Entrée</t>
  </si>
  <si>
    <t>Subtotal</t>
  </si>
  <si>
    <t>Tip</t>
  </si>
  <si>
    <t>Delivery Fee</t>
  </si>
  <si>
    <t>Receiving time</t>
  </si>
  <si>
    <t>Receiving Method</t>
  </si>
  <si>
    <t>Sides (1 Free with entrée)</t>
  </si>
  <si>
    <t>Receiving Time</t>
  </si>
  <si>
    <t>Drink - Result</t>
  </si>
  <si>
    <t>Drink Lookup</t>
  </si>
  <si>
    <t>Coke</t>
  </si>
  <si>
    <t>Sprite</t>
  </si>
  <si>
    <t>Orange</t>
  </si>
  <si>
    <t>Numbers</t>
  </si>
  <si>
    <t>Grand Total</t>
  </si>
  <si>
    <t>Contact Information</t>
  </si>
  <si>
    <t>Address</t>
  </si>
  <si>
    <t>Home</t>
  </si>
  <si>
    <t>727-687-4139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</si>
</sst>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164" formatCode="&quot;$&quot;#,##0.00"/>
    <numFmt numFmtId="165" formatCode="[$-F400]h:mm:ss\ AM/P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rgb="FF00000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1" fillId="0" borderId="7" xfId="0" applyFont="1" applyBorder="1"/>
    <xf numFmtId="0" fontId="0" fillId="0" borderId="8" xfId="0" applyBorder="1"/>
    <xf numFmtId="0" fontId="1" fillId="0" borderId="7" xfId="0" applyFont="1" applyBorder="1" applyAlignment="1">
      <alignment horizontal="right"/>
    </xf>
    <xf numFmtId="8" fontId="1" fillId="0" borderId="7" xfId="0" applyNumberFormat="1" applyFont="1" applyBorder="1" applyAlignment="1">
      <alignment horizontal="right"/>
    </xf>
    <xf numFmtId="0" fontId="2" fillId="0" borderId="7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2" borderId="4" xfId="0" applyFill="1" applyBorder="1"/>
    <xf numFmtId="0" fontId="0" fillId="0" borderId="7" xfId="0" applyBorder="1"/>
    <xf numFmtId="0" fontId="0" fillId="0" borderId="9" xfId="0" applyBorder="1"/>
    <xf numFmtId="0" fontId="0" fillId="0" borderId="12" xfId="0" applyBorder="1"/>
    <xf numFmtId="0" fontId="0" fillId="2" borderId="4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/>
    </xf>
    <xf numFmtId="8" fontId="0" fillId="0" borderId="8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2" borderId="13" xfId="0" applyFill="1" applyBorder="1"/>
    <xf numFmtId="0" fontId="0" fillId="0" borderId="14" xfId="0" applyBorder="1"/>
    <xf numFmtId="0" fontId="0" fillId="0" borderId="15" xfId="0" applyBorder="1"/>
    <xf numFmtId="8" fontId="0" fillId="0" borderId="15" xfId="0" applyNumberFormat="1" applyBorder="1"/>
    <xf numFmtId="164" fontId="0" fillId="0" borderId="15" xfId="0" applyNumberFormat="1" applyBorder="1"/>
    <xf numFmtId="8" fontId="0" fillId="0" borderId="16" xfId="0" applyNumberFormat="1" applyBorder="1"/>
    <xf numFmtId="0" fontId="0" fillId="2" borderId="13" xfId="0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17" xfId="0" applyBorder="1"/>
    <xf numFmtId="0" fontId="0" fillId="4" borderId="20" xfId="0" applyFill="1" applyBorder="1" applyAlignment="1">
      <alignment horizontal="right"/>
    </xf>
    <xf numFmtId="14" fontId="0" fillId="0" borderId="20" xfId="0" applyNumberFormat="1" applyBorder="1"/>
    <xf numFmtId="165" fontId="0" fillId="0" borderId="20" xfId="0" applyNumberFormat="1" applyBorder="1"/>
    <xf numFmtId="0" fontId="0" fillId="0" borderId="21" xfId="0" applyBorder="1"/>
    <xf numFmtId="165" fontId="0" fillId="0" borderId="22" xfId="0" applyNumberFormat="1" applyBorder="1"/>
    <xf numFmtId="0" fontId="0" fillId="0" borderId="20" xfId="0" applyBorder="1"/>
    <xf numFmtId="164" fontId="0" fillId="0" borderId="20" xfId="0" applyNumberFormat="1" applyBorder="1"/>
    <xf numFmtId="0" fontId="0" fillId="0" borderId="24" xfId="0" applyBorder="1"/>
    <xf numFmtId="164" fontId="1" fillId="0" borderId="22" xfId="0" applyNumberFormat="1" applyFont="1" applyBorder="1"/>
    <xf numFmtId="0" fontId="0" fillId="3" borderId="19" xfId="0" applyFill="1" applyBorder="1"/>
    <xf numFmtId="0" fontId="0" fillId="6" borderId="13" xfId="0" applyFill="1" applyBorder="1"/>
    <xf numFmtId="0" fontId="0" fillId="3" borderId="18" xfId="0" applyFill="1" applyBorder="1"/>
    <xf numFmtId="0" fontId="0" fillId="3" borderId="23" xfId="0" applyFill="1" applyBorder="1"/>
    <xf numFmtId="0" fontId="0" fillId="0" borderId="25" xfId="0" applyBorder="1"/>
    <xf numFmtId="0" fontId="0" fillId="0" borderId="26" xfId="0" applyBorder="1"/>
    <xf numFmtId="165" fontId="0" fillId="0" borderId="26" xfId="0" applyNumberFormat="1" applyBorder="1"/>
    <xf numFmtId="0" fontId="0" fillId="0" borderId="27" xfId="0" applyBorder="1"/>
    <xf numFmtId="164" fontId="0" fillId="0" borderId="26" xfId="0" applyNumberFormat="1" applyBorder="1"/>
    <xf numFmtId="0" fontId="1" fillId="2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19" xfId="0" applyFill="1" applyBorder="1"/>
    <xf numFmtId="0" fontId="0" fillId="0" borderId="0" xfId="0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6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10" dropStyle="combo" dx="22" fmlaLink="WIP!$B$17" fmlaRange="NoTickets" noThreeD="1" sel="3" val="0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Radio" checked="Checked" firstButton="1" fmlaLink="WIP!$C$2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CheckBox" checked="Checked" fmlaLink="WIP!$C$11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fmlaLink="'WIP Orders'!$A$17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Drop" dropLines="4" dropStyle="combo" dx="22" fmlaLink="'WIP Orders'!$D$31" fmlaRange="'WIP Orders'!$A$2:$A$5" noThreeD="1" sel="1" val="0"/>
</file>

<file path=xl/ctrlProps/ctrlProp11.xml><?xml version="1.0" encoding="utf-8"?>
<formControlPr xmlns="http://schemas.microsoft.com/office/spreadsheetml/2009/9/main" objectType="Drop" dropLines="6" dropStyle="combo" dx="22" fmlaLink="'WIP Orders'!$E$31" fmlaRange="'WIP Orders'!$A$8:$A$13" noThreeD="1" sel="3" val="0"/>
</file>

<file path=xl/ctrlProps/ctrlProp12.xml><?xml version="1.0" encoding="utf-8"?>
<formControlPr xmlns="http://schemas.microsoft.com/office/spreadsheetml/2009/9/main" objectType="Drop" dropLines="5" dropStyle="combo" dx="22" fmlaLink="'WIP Orders'!$F$31" fmlaRange="'WIP Orders'!$C$8:$C$12" noThreeD="1" sel="2" val="0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fmlaLink="'WIP Orders'!$C$17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Drop" dropLines="4" dropStyle="combo" dx="22" fmlaLink="'WIP Orders'!$G$31" fmlaRange="'WIP Orders'!$C$2:$C$5" noThreeD="1" sel="1" val="0"/>
</file>

<file path=xl/ctrlProps/ctrlProp18.xml><?xml version="1.0" encoding="utf-8"?>
<formControlPr xmlns="http://schemas.microsoft.com/office/spreadsheetml/2009/9/main" objectType="CheckBox" checked="Checked" fmlaLink="'WIP Orders'!$J$3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</xdr:row>
          <xdr:rowOff>19050</xdr:rowOff>
        </xdr:from>
        <xdr:to>
          <xdr:col>1</xdr:col>
          <xdr:colOff>1085850</xdr:colOff>
          <xdr:row>2</xdr:row>
          <xdr:rowOff>200025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180975</xdr:rowOff>
        </xdr:from>
        <xdr:to>
          <xdr:col>1</xdr:col>
          <xdr:colOff>1428750</xdr:colOff>
          <xdr:row>8</xdr:row>
          <xdr:rowOff>180975</xdr:rowOff>
        </xdr:to>
        <xdr:sp macro="" textlink="">
          <xdr:nvSpPr>
            <xdr:cNvPr id="1037" name="Group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5</xdr:row>
          <xdr:rowOff>66675</xdr:rowOff>
        </xdr:from>
        <xdr:to>
          <xdr:col>1</xdr:col>
          <xdr:colOff>1076325</xdr:colOff>
          <xdr:row>6</xdr:row>
          <xdr:rowOff>76200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6</xdr:row>
          <xdr:rowOff>76200</xdr:rowOff>
        </xdr:from>
        <xdr:to>
          <xdr:col>1</xdr:col>
          <xdr:colOff>1085850</xdr:colOff>
          <xdr:row>7</xdr:row>
          <xdr:rowOff>95250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Saturday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</xdr:row>
          <xdr:rowOff>114300</xdr:rowOff>
        </xdr:from>
        <xdr:to>
          <xdr:col>1</xdr:col>
          <xdr:colOff>1076325</xdr:colOff>
          <xdr:row>8</xdr:row>
          <xdr:rowOff>133350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1238250</xdr:colOff>
          <xdr:row>11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Order Parking Pass ($10)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19050</xdr:colOff>
      <xdr:row>1</xdr:row>
      <xdr:rowOff>0</xdr:rowOff>
    </xdr:from>
    <xdr:to>
      <xdr:col>4</xdr:col>
      <xdr:colOff>590550</xdr:colOff>
      <xdr:row>2</xdr:row>
      <xdr:rowOff>200025</xdr:rowOff>
    </xdr:to>
    <xdr:sp macro="[0]!PlaceOr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543300" y="209550"/>
          <a:ext cx="1181100" cy="40957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>
              <a:solidFill>
                <a:schemeClr val="bg1"/>
              </a:solidFill>
            </a:rPr>
            <a:t>Ticket</a:t>
          </a:r>
          <a:r>
            <a:rPr lang="en-US" sz="1100" b="1" i="1" baseline="0">
              <a:solidFill>
                <a:schemeClr val="bg1"/>
              </a:solidFill>
            </a:rPr>
            <a:t> Order</a:t>
          </a:r>
          <a:endParaRPr lang="en-US" sz="1100" b="1" i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123825</xdr:colOff>
      <xdr:row>0</xdr:row>
      <xdr:rowOff>114300</xdr:rowOff>
    </xdr:from>
    <xdr:to>
      <xdr:col>10</xdr:col>
      <xdr:colOff>542925</xdr:colOff>
      <xdr:row>1</xdr:row>
      <xdr:rowOff>123825</xdr:rowOff>
    </xdr:to>
    <xdr:sp macro="[0]!ReturnToOr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867525" y="114300"/>
          <a:ext cx="1638300" cy="41910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/>
            <a:t>Return to</a:t>
          </a:r>
          <a:r>
            <a:rPr lang="en-US" sz="1200" b="1" i="1" baseline="0"/>
            <a:t> Order</a:t>
          </a:r>
          <a:endParaRPr lang="en-US" sz="1200" b="1" i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4102" name="Group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</xdr:row>
          <xdr:rowOff>47625</xdr:rowOff>
        </xdr:from>
        <xdr:to>
          <xdr:col>1</xdr:col>
          <xdr:colOff>1381125</xdr:colOff>
          <xdr:row>4</xdr:row>
          <xdr:rowOff>95250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Pickup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142875</xdr:rowOff>
        </xdr:from>
        <xdr:to>
          <xdr:col>1</xdr:col>
          <xdr:colOff>1266825</xdr:colOff>
          <xdr:row>5</xdr:row>
          <xdr:rowOff>171450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Delivery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4105" name="Drop Dow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9525</xdr:rowOff>
        </xdr:to>
        <xdr:sp macro="" textlink="">
          <xdr:nvSpPr>
            <xdr:cNvPr id="4106" name="Drop Dow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9525</xdr:rowOff>
        </xdr:to>
        <xdr:sp macro="" textlink="">
          <xdr:nvSpPr>
            <xdr:cNvPr id="4107" name="Drop Dow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4108" name="Group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38100</xdr:rowOff>
        </xdr:from>
        <xdr:to>
          <xdr:col>1</xdr:col>
          <xdr:colOff>1371600</xdr:colOff>
          <xdr:row>16</xdr:row>
          <xdr:rowOff>66675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Coke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16</xdr:row>
          <xdr:rowOff>85725</xdr:rowOff>
        </xdr:from>
        <xdr:to>
          <xdr:col>1</xdr:col>
          <xdr:colOff>1200150</xdr:colOff>
          <xdr:row>17</xdr:row>
          <xdr:rowOff>114300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Sprite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17</xdr:row>
          <xdr:rowOff>133350</xdr:rowOff>
        </xdr:from>
        <xdr:to>
          <xdr:col>1</xdr:col>
          <xdr:colOff>1304925</xdr:colOff>
          <xdr:row>18</xdr:row>
          <xdr:rowOff>161925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Orange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9525</xdr:rowOff>
        </xdr:to>
        <xdr:sp macro="" textlink="">
          <xdr:nvSpPr>
            <xdr:cNvPr id="4112" name="Drop Dow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28575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20% Tip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57150</xdr:colOff>
      <xdr:row>10</xdr:row>
      <xdr:rowOff>38100</xdr:rowOff>
    </xdr:from>
    <xdr:to>
      <xdr:col>4</xdr:col>
      <xdr:colOff>1228725</xdr:colOff>
      <xdr:row>11</xdr:row>
      <xdr:rowOff>152400</xdr:rowOff>
    </xdr:to>
    <xdr:sp macro="[0]!PlaceFoodOr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248150" y="1962150"/>
          <a:ext cx="1171575" cy="3048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Submit Order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19050</xdr:colOff>
      <xdr:row>0</xdr:row>
      <xdr:rowOff>1</xdr:rowOff>
    </xdr:from>
    <xdr:to>
      <xdr:col>18</xdr:col>
      <xdr:colOff>504825</xdr:colOff>
      <xdr:row>0</xdr:row>
      <xdr:rowOff>523875</xdr:rowOff>
    </xdr:to>
    <xdr:sp macro="[0]!ReturnToFoodOr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506200" y="1"/>
          <a:ext cx="1095375" cy="523874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Return to Order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2867C-F51D-44B9-BB0F-1ABF93D9E8BF}">
  <sheetPr codeName="Sheet1"/>
  <dimension ref="A1:B18"/>
  <sheetViews>
    <sheetView tabSelected="1" workbookViewId="0">
      <selection activeCell="E13" sqref="E13"/>
    </sheetView>
  </sheetViews>
  <sheetFormatPr defaultRowHeight="15" x14ac:dyDescent="0.25"/>
  <cols>
    <col min="1" max="2" width="21.85546875" customWidth="1"/>
  </cols>
  <sheetData>
    <row r="1" spans="1:2" ht="16.5" thickTop="1" thickBot="1" x14ac:dyDescent="0.3">
      <c r="A1" s="53" t="s">
        <v>0</v>
      </c>
      <c r="B1" s="54"/>
    </row>
    <row r="2" spans="1:2" ht="16.5" thickTop="1" thickBot="1" x14ac:dyDescent="0.3">
      <c r="A2" s="4"/>
      <c r="B2" s="5"/>
    </row>
    <row r="3" spans="1:2" ht="16.5" thickTop="1" thickBot="1" x14ac:dyDescent="0.3">
      <c r="A3" s="6" t="s">
        <v>1</v>
      </c>
      <c r="B3" s="1"/>
    </row>
    <row r="4" spans="1:2" ht="15.75" thickTop="1" x14ac:dyDescent="0.25">
      <c r="A4" s="7">
        <v>15.75</v>
      </c>
      <c r="B4" s="5"/>
    </row>
    <row r="5" spans="1:2" ht="15.75" thickBot="1" x14ac:dyDescent="0.3">
      <c r="A5" s="6"/>
      <c r="B5" s="5"/>
    </row>
    <row r="6" spans="1:2" ht="15.75" thickTop="1" x14ac:dyDescent="0.25">
      <c r="A6" s="6" t="s">
        <v>2</v>
      </c>
      <c r="B6" s="55"/>
    </row>
    <row r="7" spans="1:2" x14ac:dyDescent="0.25">
      <c r="A7" s="8" t="s">
        <v>3</v>
      </c>
      <c r="B7" s="56"/>
    </row>
    <row r="8" spans="1:2" x14ac:dyDescent="0.25">
      <c r="A8" s="6"/>
      <c r="B8" s="56"/>
    </row>
    <row r="9" spans="1:2" ht="15.75" thickBot="1" x14ac:dyDescent="0.3">
      <c r="A9" s="6"/>
      <c r="B9" s="57"/>
    </row>
    <row r="10" spans="1:2" ht="16.5" thickTop="1" thickBot="1" x14ac:dyDescent="0.3">
      <c r="A10" s="6"/>
      <c r="B10" s="5"/>
    </row>
    <row r="11" spans="1:2" ht="16.5" thickTop="1" thickBot="1" x14ac:dyDescent="0.3">
      <c r="A11" s="6" t="s">
        <v>5</v>
      </c>
      <c r="B11" s="1"/>
    </row>
    <row r="12" spans="1:2" ht="16.5" thickTop="1" thickBot="1" x14ac:dyDescent="0.3">
      <c r="A12" s="6"/>
      <c r="B12" s="5"/>
    </row>
    <row r="13" spans="1:2" ht="16.5" thickTop="1" thickBot="1" x14ac:dyDescent="0.3">
      <c r="A13" s="6" t="s">
        <v>6</v>
      </c>
      <c r="B13" s="32">
        <f>WIP!B20</f>
        <v>57.25</v>
      </c>
    </row>
    <row r="14" spans="1:2" ht="16.5" thickTop="1" thickBot="1" x14ac:dyDescent="0.3">
      <c r="A14" s="6"/>
      <c r="B14" s="5"/>
    </row>
    <row r="15" spans="1:2" ht="16.5" thickTop="1" thickBot="1" x14ac:dyDescent="0.3">
      <c r="A15" s="6" t="s">
        <v>7</v>
      </c>
      <c r="B15" s="10"/>
    </row>
    <row r="16" spans="1:2" ht="16.5" thickTop="1" thickBot="1" x14ac:dyDescent="0.3">
      <c r="A16" s="6"/>
      <c r="B16" s="5"/>
    </row>
    <row r="17" spans="1:2" ht="16.5" thickTop="1" thickBot="1" x14ac:dyDescent="0.3">
      <c r="A17" s="9" t="s">
        <v>8</v>
      </c>
      <c r="B17" s="10"/>
    </row>
    <row r="18" spans="1:2" ht="15.75" thickTop="1" x14ac:dyDescent="0.25"/>
  </sheetData>
  <mergeCells count="2">
    <mergeCell ref="A1:B1"/>
    <mergeCell ref="B6:B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1</xdr:col>
                    <xdr:colOff>28575</xdr:colOff>
                    <xdr:row>2</xdr:row>
                    <xdr:rowOff>19050</xdr:rowOff>
                  </from>
                  <to>
                    <xdr:col>1</xdr:col>
                    <xdr:colOff>1085850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" name="Group Box 13">
              <controlPr defaultSize="0" autoFill="0" autoPict="0">
                <anchor moveWithCells="1">
                  <from>
                    <xdr:col>1</xdr:col>
                    <xdr:colOff>9525</xdr:colOff>
                    <xdr:row>4</xdr:row>
                    <xdr:rowOff>180975</xdr:rowOff>
                  </from>
                  <to>
                    <xdr:col>1</xdr:col>
                    <xdr:colOff>1428750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Option Button 14">
              <controlPr defaultSize="0" autoFill="0" autoLine="0" autoPict="0">
                <anchor moveWithCells="1">
                  <from>
                    <xdr:col>1</xdr:col>
                    <xdr:colOff>95250</xdr:colOff>
                    <xdr:row>5</xdr:row>
                    <xdr:rowOff>66675</xdr:rowOff>
                  </from>
                  <to>
                    <xdr:col>1</xdr:col>
                    <xdr:colOff>1076325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Option Button 15">
              <controlPr defaultSize="0" autoFill="0" autoLine="0" autoPict="0">
                <anchor moveWithCells="1">
                  <from>
                    <xdr:col>1</xdr:col>
                    <xdr:colOff>95250</xdr:colOff>
                    <xdr:row>6</xdr:row>
                    <xdr:rowOff>76200</xdr:rowOff>
                  </from>
                  <to>
                    <xdr:col>1</xdr:col>
                    <xdr:colOff>1085850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Option Button 16">
              <controlPr defaultSize="0" autoFill="0" autoLine="0" autoPict="0">
                <anchor moveWithCells="1">
                  <from>
                    <xdr:col>1</xdr:col>
                    <xdr:colOff>95250</xdr:colOff>
                    <xdr:row>7</xdr:row>
                    <xdr:rowOff>114300</xdr:rowOff>
                  </from>
                  <to>
                    <xdr:col>1</xdr:col>
                    <xdr:colOff>1076325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Check Box 17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1238250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99E5D-45EF-4165-9C2A-F4A29F2145EB}">
  <sheetPr codeName="Sheet2"/>
  <dimension ref="A1:G26"/>
  <sheetViews>
    <sheetView workbookViewId="0">
      <selection activeCell="F26" sqref="F26"/>
    </sheetView>
  </sheetViews>
  <sheetFormatPr defaultRowHeight="15" x14ac:dyDescent="0.25"/>
  <cols>
    <col min="1" max="3" width="22.42578125" customWidth="1"/>
    <col min="4" max="4" width="13.5703125" customWidth="1"/>
    <col min="5" max="5" width="10.5703125" bestFit="1" customWidth="1"/>
    <col min="6" max="6" width="11.85546875" bestFit="1" customWidth="1"/>
  </cols>
  <sheetData>
    <row r="1" spans="1:4" ht="15.75" thickTop="1" x14ac:dyDescent="0.25">
      <c r="A1" s="11" t="s">
        <v>11</v>
      </c>
      <c r="C1" s="15" t="s">
        <v>12</v>
      </c>
      <c r="D1" s="12"/>
    </row>
    <row r="2" spans="1:4" ht="15.75" thickBot="1" x14ac:dyDescent="0.3">
      <c r="A2" s="2">
        <v>1</v>
      </c>
      <c r="C2" s="18">
        <v>1</v>
      </c>
      <c r="D2" s="12"/>
    </row>
    <row r="3" spans="1:4" ht="16.5" thickTop="1" thickBot="1" x14ac:dyDescent="0.3">
      <c r="A3" s="2">
        <v>2</v>
      </c>
    </row>
    <row r="4" spans="1:4" ht="15.75" thickTop="1" x14ac:dyDescent="0.25">
      <c r="A4" s="2">
        <v>3</v>
      </c>
      <c r="C4" s="58" t="s">
        <v>13</v>
      </c>
      <c r="D4" s="59"/>
    </row>
    <row r="5" spans="1:4" x14ac:dyDescent="0.25">
      <c r="A5" s="2">
        <v>4</v>
      </c>
      <c r="C5" s="16">
        <v>1</v>
      </c>
      <c r="D5" s="5" t="s">
        <v>14</v>
      </c>
    </row>
    <row r="6" spans="1:4" x14ac:dyDescent="0.25">
      <c r="A6" s="2">
        <v>5</v>
      </c>
      <c r="C6" s="16">
        <v>2</v>
      </c>
      <c r="D6" s="5" t="s">
        <v>15</v>
      </c>
    </row>
    <row r="7" spans="1:4" ht="15.75" thickBot="1" x14ac:dyDescent="0.3">
      <c r="A7" s="2">
        <v>6</v>
      </c>
      <c r="C7" s="17">
        <v>3</v>
      </c>
      <c r="D7" s="14" t="s">
        <v>16</v>
      </c>
    </row>
    <row r="8" spans="1:4" ht="15.75" thickTop="1" x14ac:dyDescent="0.25">
      <c r="A8" s="2">
        <v>7</v>
      </c>
    </row>
    <row r="9" spans="1:4" ht="15.75" thickBot="1" x14ac:dyDescent="0.3">
      <c r="A9" s="2">
        <v>8</v>
      </c>
    </row>
    <row r="10" spans="1:4" ht="15.75" thickTop="1" x14ac:dyDescent="0.25">
      <c r="A10" s="2">
        <v>9</v>
      </c>
      <c r="C10" s="15" t="s">
        <v>17</v>
      </c>
    </row>
    <row r="11" spans="1:4" ht="15.75" thickBot="1" x14ac:dyDescent="0.3">
      <c r="A11" s="3">
        <v>10</v>
      </c>
      <c r="C11" s="18" t="b">
        <v>1</v>
      </c>
    </row>
    <row r="12" spans="1:4" ht="15.75" thickTop="1" x14ac:dyDescent="0.25"/>
    <row r="14" spans="1:4" ht="15.75" thickBot="1" x14ac:dyDescent="0.3"/>
    <row r="15" spans="1:4" ht="15.75" thickTop="1" x14ac:dyDescent="0.25">
      <c r="A15" s="58" t="s">
        <v>18</v>
      </c>
      <c r="B15" s="59"/>
    </row>
    <row r="16" spans="1:4" x14ac:dyDescent="0.25">
      <c r="A16" s="12" t="s">
        <v>2</v>
      </c>
      <c r="B16" s="19" t="str">
        <f>_xlfn.XLOOKUP(C2,C5:C7,D5:D7)</f>
        <v>Friday</v>
      </c>
    </row>
    <row r="17" spans="1:7" x14ac:dyDescent="0.25">
      <c r="A17" s="12" t="s">
        <v>20</v>
      </c>
      <c r="B17" s="19">
        <v>3</v>
      </c>
    </row>
    <row r="18" spans="1:7" x14ac:dyDescent="0.25">
      <c r="A18" s="12" t="s">
        <v>21</v>
      </c>
      <c r="B18" s="21">
        <f>'Ticket Order'!A4*WIP!B17</f>
        <v>47.25</v>
      </c>
    </row>
    <row r="19" spans="1:7" x14ac:dyDescent="0.25">
      <c r="A19" s="12" t="s">
        <v>5</v>
      </c>
      <c r="B19" s="22">
        <f>IF(WIP!C11,10,0)</f>
        <v>10</v>
      </c>
    </row>
    <row r="20" spans="1:7" x14ac:dyDescent="0.25">
      <c r="A20" s="12" t="s">
        <v>6</v>
      </c>
      <c r="B20" s="21">
        <f>SUM(B18:B19)</f>
        <v>57.25</v>
      </c>
    </row>
    <row r="21" spans="1:7" x14ac:dyDescent="0.25">
      <c r="A21" s="12"/>
      <c r="B21" s="19"/>
    </row>
    <row r="22" spans="1:7" x14ac:dyDescent="0.25">
      <c r="A22" s="12" t="s">
        <v>7</v>
      </c>
      <c r="B22" s="19">
        <f>'Ticket Order'!B15</f>
        <v>0</v>
      </c>
    </row>
    <row r="23" spans="1:7" ht="15.75" thickBot="1" x14ac:dyDescent="0.3">
      <c r="A23" s="13" t="s">
        <v>22</v>
      </c>
      <c r="B23" s="20">
        <f>'Ticket Order'!B17</f>
        <v>0</v>
      </c>
    </row>
    <row r="24" spans="1:7" ht="16.5" thickTop="1" thickBot="1" x14ac:dyDescent="0.3"/>
    <row r="25" spans="1:7" ht="15.75" thickBot="1" x14ac:dyDescent="0.3">
      <c r="A25" s="23" t="s">
        <v>23</v>
      </c>
      <c r="B25" s="23" t="s">
        <v>24</v>
      </c>
      <c r="C25" s="23" t="s">
        <v>19</v>
      </c>
      <c r="D25" s="23" t="s">
        <v>1</v>
      </c>
      <c r="E25" s="23" t="s">
        <v>25</v>
      </c>
      <c r="F25" s="23" t="s">
        <v>4</v>
      </c>
      <c r="G25" s="23" t="s">
        <v>26</v>
      </c>
    </row>
    <row r="26" spans="1:7" ht="15.75" thickBot="1" x14ac:dyDescent="0.3">
      <c r="A26" s="24">
        <f>B22</f>
        <v>0</v>
      </c>
      <c r="B26" s="25">
        <f>B23</f>
        <v>0</v>
      </c>
      <c r="C26" s="25" t="str">
        <f>B16</f>
        <v>Friday</v>
      </c>
      <c r="D26" s="25">
        <f>B17</f>
        <v>3</v>
      </c>
      <c r="E26" s="26">
        <f>B18</f>
        <v>47.25</v>
      </c>
      <c r="F26" s="27">
        <f>B19</f>
        <v>10</v>
      </c>
      <c r="G26" s="28">
        <f>B20</f>
        <v>57.25</v>
      </c>
    </row>
  </sheetData>
  <mergeCells count="2">
    <mergeCell ref="A15:B15"/>
    <mergeCell ref="C4:D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61EB9-B9CC-407E-AF22-17958D9231B4}">
  <sheetPr codeName="Sheet3"/>
  <dimension ref="A1:G6"/>
  <sheetViews>
    <sheetView workbookViewId="0">
      <selection activeCell="C7" sqref="C7"/>
    </sheetView>
  </sheetViews>
  <sheetFormatPr defaultRowHeight="15" x14ac:dyDescent="0.25"/>
  <cols>
    <col min="1" max="7" width="13.140625" customWidth="1"/>
  </cols>
  <sheetData>
    <row r="1" spans="1:7" ht="32.25" customHeight="1" thickBot="1" x14ac:dyDescent="0.3">
      <c r="A1" s="60" t="s">
        <v>27</v>
      </c>
      <c r="B1" s="61"/>
      <c r="C1" s="61"/>
      <c r="D1" s="61"/>
      <c r="E1" s="61"/>
      <c r="F1" s="61"/>
      <c r="G1" s="62"/>
    </row>
    <row r="2" spans="1:7" ht="15.75" thickBot="1" x14ac:dyDescent="0.3">
      <c r="A2" s="29" t="s">
        <v>23</v>
      </c>
      <c r="B2" s="29" t="s">
        <v>24</v>
      </c>
      <c r="C2" s="29" t="s">
        <v>19</v>
      </c>
      <c r="D2" s="29" t="s">
        <v>1</v>
      </c>
      <c r="E2" s="29" t="s">
        <v>25</v>
      </c>
      <c r="F2" s="29" t="s">
        <v>4</v>
      </c>
      <c r="G2" s="29" t="s">
        <v>26</v>
      </c>
    </row>
    <row r="3" spans="1:7" x14ac:dyDescent="0.25">
      <c r="A3" s="30">
        <v>0</v>
      </c>
      <c r="B3" s="30">
        <v>0</v>
      </c>
      <c r="C3" s="30" t="s">
        <v>14</v>
      </c>
      <c r="D3" s="30">
        <v>3</v>
      </c>
      <c r="E3" s="30">
        <v>47.25</v>
      </c>
      <c r="F3" s="30">
        <v>10</v>
      </c>
      <c r="G3" s="30">
        <v>57.25</v>
      </c>
    </row>
    <row r="4" spans="1:7" x14ac:dyDescent="0.25">
      <c r="A4" s="30">
        <v>0</v>
      </c>
      <c r="B4" s="30">
        <v>0</v>
      </c>
      <c r="C4" s="30" t="s">
        <v>15</v>
      </c>
      <c r="D4" s="30">
        <v>1</v>
      </c>
      <c r="E4" s="30">
        <v>15.75</v>
      </c>
      <c r="F4" s="30">
        <v>0</v>
      </c>
      <c r="G4" s="30">
        <v>15.75</v>
      </c>
    </row>
    <row r="5" spans="1:7" x14ac:dyDescent="0.25">
      <c r="A5" s="30" t="s">
        <v>9</v>
      </c>
      <c r="B5" s="30" t="s">
        <v>10</v>
      </c>
      <c r="C5" s="30" t="s">
        <v>14</v>
      </c>
      <c r="D5" s="30">
        <v>7</v>
      </c>
      <c r="E5" s="31">
        <v>110.25</v>
      </c>
      <c r="F5" s="31">
        <v>0</v>
      </c>
      <c r="G5" s="31">
        <v>110.25</v>
      </c>
    </row>
    <row r="6" spans="1:7" x14ac:dyDescent="0.25">
      <c r="A6" s="30" t="s">
        <v>9</v>
      </c>
      <c r="B6" s="30" t="s">
        <v>10</v>
      </c>
      <c r="C6" s="30" t="s">
        <v>15</v>
      </c>
      <c r="D6" s="30">
        <v>5</v>
      </c>
      <c r="E6" s="31">
        <v>78.75</v>
      </c>
      <c r="F6" s="31">
        <v>10</v>
      </c>
      <c r="G6" s="31">
        <v>88.75</v>
      </c>
    </row>
  </sheetData>
  <mergeCells count="1">
    <mergeCell ref="A1:G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48A66-B246-421B-9433-13AA86A12289}">
  <sheetPr codeName="Sheet4"/>
  <dimension ref="A1:F24"/>
  <sheetViews>
    <sheetView workbookViewId="0">
      <selection activeCell="D4" sqref="D4"/>
    </sheetView>
  </sheetViews>
  <sheetFormatPr defaultRowHeight="15" x14ac:dyDescent="0.25"/>
  <cols>
    <col min="1" max="2" width="22.28515625" customWidth="1"/>
    <col min="5" max="5" width="19" bestFit="1" customWidth="1"/>
    <col min="6" max="6" width="43.140625" bestFit="1" customWidth="1"/>
  </cols>
  <sheetData>
    <row r="1" spans="1:6" ht="15.75" thickBot="1" x14ac:dyDescent="0.3">
      <c r="A1" s="63" t="s">
        <v>28</v>
      </c>
      <c r="B1" s="65"/>
      <c r="C1" s="66"/>
    </row>
    <row r="2" spans="1:6" x14ac:dyDescent="0.25">
      <c r="A2" s="34"/>
      <c r="C2" s="40" t="s">
        <v>33</v>
      </c>
      <c r="E2" s="63" t="s">
        <v>75</v>
      </c>
      <c r="F2" s="64"/>
    </row>
    <row r="3" spans="1:6" x14ac:dyDescent="0.25">
      <c r="A3" s="34"/>
      <c r="C3" s="40"/>
      <c r="E3" s="34" t="s">
        <v>23</v>
      </c>
      <c r="F3" s="35"/>
    </row>
    <row r="4" spans="1:6" x14ac:dyDescent="0.25">
      <c r="A4" s="34" t="s">
        <v>29</v>
      </c>
      <c r="B4" s="67"/>
      <c r="C4" s="41">
        <f>IF('WIP Orders'!C30 = "Delivery",3.25,0)</f>
        <v>3.25</v>
      </c>
      <c r="E4" s="34" t="s">
        <v>24</v>
      </c>
      <c r="F4" s="35"/>
    </row>
    <row r="5" spans="1:6" x14ac:dyDescent="0.25">
      <c r="A5" s="34"/>
      <c r="B5" s="67"/>
      <c r="C5" s="40"/>
      <c r="E5" s="34" t="s">
        <v>76</v>
      </c>
      <c r="F5" s="35"/>
    </row>
    <row r="6" spans="1:6" x14ac:dyDescent="0.25">
      <c r="A6" s="34"/>
      <c r="B6" s="67"/>
      <c r="C6" s="40"/>
      <c r="E6" s="34" t="s">
        <v>34</v>
      </c>
      <c r="F6" s="36">
        <f ca="1">TODAY()</f>
        <v>45419</v>
      </c>
    </row>
    <row r="7" spans="1:6" x14ac:dyDescent="0.25">
      <c r="A7" s="34"/>
      <c r="C7" s="40"/>
      <c r="E7" s="34" t="s">
        <v>35</v>
      </c>
      <c r="F7" s="37">
        <f ca="1">RANDBETWEEN(375,875)/1000</f>
        <v>0.58299999999999996</v>
      </c>
    </row>
    <row r="8" spans="1:6" ht="15.75" thickBot="1" x14ac:dyDescent="0.3">
      <c r="A8" s="34" t="s">
        <v>30</v>
      </c>
      <c r="C8" s="41">
        <f>_xlfn.XLOOKUP('WIP Orders'!D30,'WIP Orders'!A2:A5,'WIP Orders'!B2:B5)</f>
        <v>8.75</v>
      </c>
      <c r="E8" s="38" t="s">
        <v>67</v>
      </c>
      <c r="F8" s="39">
        <f ca="1">IF(C4= 0,F7+(1/48),F7+(1/24))</f>
        <v>0.62466666666666659</v>
      </c>
    </row>
    <row r="9" spans="1:6" x14ac:dyDescent="0.25">
      <c r="A9" s="34"/>
      <c r="C9" s="40"/>
    </row>
    <row r="10" spans="1:6" x14ac:dyDescent="0.25">
      <c r="A10" s="34" t="s">
        <v>31</v>
      </c>
      <c r="C10" s="41">
        <f>_xlfn.XLOOKUP('WIP Orders'!E30,'WIP Orders'!A8:A13,'WIP Orders'!B8:B13)</f>
        <v>17.989999999999998</v>
      </c>
    </row>
    <row r="11" spans="1:6" x14ac:dyDescent="0.25">
      <c r="A11" s="34"/>
      <c r="C11" s="40"/>
    </row>
    <row r="12" spans="1:6" x14ac:dyDescent="0.25">
      <c r="A12" s="34" t="s">
        <v>38</v>
      </c>
      <c r="C12" s="41">
        <f>_xlfn.XLOOKUP('WIP Orders'!F30,'WIP Orders'!C8:C12,'WIP Orders'!D8:D12)</f>
        <v>4.75</v>
      </c>
    </row>
    <row r="13" spans="1:6" x14ac:dyDescent="0.25">
      <c r="A13" s="34"/>
      <c r="C13" s="40"/>
    </row>
    <row r="14" spans="1:6" x14ac:dyDescent="0.25">
      <c r="A14" s="34" t="s">
        <v>37</v>
      </c>
      <c r="C14" s="41">
        <f>_xlfn.XLOOKUP('WIP Orders'!G30,'WIP Orders'!C2:C5,'WIP Orders'!D2:D5)</f>
        <v>7.25</v>
      </c>
    </row>
    <row r="15" spans="1:6" x14ac:dyDescent="0.25">
      <c r="A15" s="34"/>
      <c r="C15" s="40"/>
    </row>
    <row r="16" spans="1:6" x14ac:dyDescent="0.25">
      <c r="A16" s="34" t="s">
        <v>36</v>
      </c>
      <c r="B16" s="67"/>
      <c r="C16" s="41">
        <v>1.99</v>
      </c>
    </row>
    <row r="17" spans="1:3" x14ac:dyDescent="0.25">
      <c r="A17" s="34"/>
      <c r="B17" s="67"/>
      <c r="C17" s="40"/>
    </row>
    <row r="18" spans="1:3" x14ac:dyDescent="0.25">
      <c r="A18" s="34"/>
      <c r="B18" s="67"/>
      <c r="C18" s="40"/>
    </row>
    <row r="19" spans="1:3" x14ac:dyDescent="0.25">
      <c r="A19" s="34"/>
      <c r="B19" s="67"/>
      <c r="C19" s="40"/>
    </row>
    <row r="20" spans="1:3" x14ac:dyDescent="0.25">
      <c r="A20" s="34"/>
      <c r="C20" s="40"/>
    </row>
    <row r="21" spans="1:3" x14ac:dyDescent="0.25">
      <c r="A21" s="34" t="s">
        <v>61</v>
      </c>
      <c r="C21" s="41">
        <f>SUM(C8:C16)</f>
        <v>40.729999999999997</v>
      </c>
    </row>
    <row r="22" spans="1:3" x14ac:dyDescent="0.25">
      <c r="A22" s="34" t="s">
        <v>63</v>
      </c>
      <c r="C22" s="41">
        <f>C4</f>
        <v>3.25</v>
      </c>
    </row>
    <row r="23" spans="1:3" x14ac:dyDescent="0.25">
      <c r="A23" s="34" t="s">
        <v>62</v>
      </c>
      <c r="C23" s="41">
        <f>IF('WIP Orders'!J31,0.2*Orders!C21,0)</f>
        <v>8.145999999999999</v>
      </c>
    </row>
    <row r="24" spans="1:3" ht="15.75" thickBot="1" x14ac:dyDescent="0.3">
      <c r="A24" s="38" t="s">
        <v>74</v>
      </c>
      <c r="B24" s="42"/>
      <c r="C24" s="43">
        <f>SUM(C21:C23)</f>
        <v>52.125999999999998</v>
      </c>
    </row>
  </sheetData>
  <mergeCells count="4">
    <mergeCell ref="E2:F2"/>
    <mergeCell ref="A1:C1"/>
    <mergeCell ref="B4:B6"/>
    <mergeCell ref="B16:B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3" name="Group Box 6">
              <controlPr defaultSize="0" autoFill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Option Button 7">
              <controlPr defaultSize="0" autoFill="0" autoLine="0" autoPict="0">
                <anchor moveWithCells="1">
                  <from>
                    <xdr:col>1</xdr:col>
                    <xdr:colOff>95250</xdr:colOff>
                    <xdr:row>3</xdr:row>
                    <xdr:rowOff>47625</xdr:rowOff>
                  </from>
                  <to>
                    <xdr:col>1</xdr:col>
                    <xdr:colOff>1381125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Option Button 8">
              <controlPr defaultSize="0" autoFill="0" autoLine="0" autoPict="0">
                <anchor moveWithCells="1">
                  <from>
                    <xdr:col>1</xdr:col>
                    <xdr:colOff>95250</xdr:colOff>
                    <xdr:row>4</xdr:row>
                    <xdr:rowOff>142875</xdr:rowOff>
                  </from>
                  <to>
                    <xdr:col>1</xdr:col>
                    <xdr:colOff>1266825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Drop Down 9">
              <controlPr defaultSize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Drop Down 10">
              <controlPr defaultSize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Drop Down 11">
              <controlPr defaultSize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9" name="Group Box 12">
              <controlPr defaultSize="0" autoFill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0" name="Option Button 13">
              <controlPr defaultSize="0" autoFill="0" autoLine="0" autoPict="0">
                <anchor moveWithCells="1">
                  <from>
                    <xdr:col>1</xdr:col>
                    <xdr:colOff>76200</xdr:colOff>
                    <xdr:row>15</xdr:row>
                    <xdr:rowOff>38100</xdr:rowOff>
                  </from>
                  <to>
                    <xdr:col>1</xdr:col>
                    <xdr:colOff>1371600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1" name="Option Button 14">
              <controlPr defaultSize="0" autoFill="0" autoLine="0" autoPict="0">
                <anchor moveWithCells="1">
                  <from>
                    <xdr:col>1</xdr:col>
                    <xdr:colOff>76200</xdr:colOff>
                    <xdr:row>16</xdr:row>
                    <xdr:rowOff>85725</xdr:rowOff>
                  </from>
                  <to>
                    <xdr:col>1</xdr:col>
                    <xdr:colOff>1200150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2" name="Option Button 15">
              <controlPr defaultSize="0" autoFill="0" autoLine="0" autoPict="0">
                <anchor moveWithCells="1">
                  <from>
                    <xdr:col>1</xdr:col>
                    <xdr:colOff>76200</xdr:colOff>
                    <xdr:row>17</xdr:row>
                    <xdr:rowOff>133350</xdr:rowOff>
                  </from>
                  <to>
                    <xdr:col>1</xdr:col>
                    <xdr:colOff>1304925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3" name="Drop Down 16">
              <controlPr defaultSize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4" name="Check Box 17">
              <controlPr defaultSize="0" autoFill="0" autoLine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EE47F-AFFB-4909-95FE-37DE6ADC33E0}">
  <sheetPr codeName="Sheet5"/>
  <dimension ref="A1:N31"/>
  <sheetViews>
    <sheetView workbookViewId="0">
      <selection activeCell="A30" sqref="A30:N30"/>
    </sheetView>
  </sheetViews>
  <sheetFormatPr defaultRowHeight="15" x14ac:dyDescent="0.25"/>
  <cols>
    <col min="1" max="1" width="24.5703125" bestFit="1" customWidth="1"/>
    <col min="2" max="2" width="15.7109375" customWidth="1"/>
    <col min="3" max="3" width="19.5703125" bestFit="1" customWidth="1"/>
    <col min="4" max="5" width="16.7109375" bestFit="1" customWidth="1"/>
    <col min="6" max="6" width="16.42578125" bestFit="1" customWidth="1"/>
    <col min="7" max="7" width="19.5703125" bestFit="1" customWidth="1"/>
    <col min="11" max="11" width="12.140625" bestFit="1" customWidth="1"/>
    <col min="13" max="13" width="14.28515625" bestFit="1" customWidth="1"/>
    <col min="14" max="14" width="42.5703125" bestFit="1" customWidth="1"/>
  </cols>
  <sheetData>
    <row r="1" spans="1:5" x14ac:dyDescent="0.25">
      <c r="A1" s="70" t="s">
        <v>30</v>
      </c>
      <c r="B1" s="67"/>
      <c r="C1" s="70" t="s">
        <v>37</v>
      </c>
      <c r="D1" s="67"/>
      <c r="E1" s="33" t="s">
        <v>73</v>
      </c>
    </row>
    <row r="2" spans="1:5" x14ac:dyDescent="0.25">
      <c r="A2" t="s">
        <v>39</v>
      </c>
      <c r="B2">
        <v>8.75</v>
      </c>
      <c r="C2" t="s">
        <v>46</v>
      </c>
      <c r="D2">
        <v>7.25</v>
      </c>
      <c r="E2">
        <v>1</v>
      </c>
    </row>
    <row r="3" spans="1:5" x14ac:dyDescent="0.25">
      <c r="A3" t="s">
        <v>40</v>
      </c>
      <c r="B3">
        <v>7.95</v>
      </c>
      <c r="C3" t="s">
        <v>48</v>
      </c>
      <c r="D3">
        <v>4.5</v>
      </c>
      <c r="E3">
        <v>2</v>
      </c>
    </row>
    <row r="4" spans="1:5" x14ac:dyDescent="0.25">
      <c r="A4" t="s">
        <v>41</v>
      </c>
      <c r="B4">
        <v>8.25</v>
      </c>
      <c r="C4" t="s">
        <v>49</v>
      </c>
      <c r="D4">
        <v>6.25</v>
      </c>
      <c r="E4">
        <v>3</v>
      </c>
    </row>
    <row r="5" spans="1:5" x14ac:dyDescent="0.25">
      <c r="A5" t="s">
        <v>47</v>
      </c>
      <c r="B5">
        <v>0</v>
      </c>
      <c r="C5" t="s">
        <v>47</v>
      </c>
      <c r="D5">
        <v>0</v>
      </c>
      <c r="E5">
        <v>4</v>
      </c>
    </row>
    <row r="7" spans="1:5" x14ac:dyDescent="0.25">
      <c r="A7" s="70" t="s">
        <v>31</v>
      </c>
      <c r="B7" s="67"/>
      <c r="C7" s="70" t="s">
        <v>66</v>
      </c>
      <c r="D7" s="67"/>
    </row>
    <row r="8" spans="1:5" x14ac:dyDescent="0.25">
      <c r="A8" t="s">
        <v>52</v>
      </c>
      <c r="B8">
        <v>19.5</v>
      </c>
      <c r="C8" t="s">
        <v>50</v>
      </c>
      <c r="D8">
        <v>4.25</v>
      </c>
      <c r="E8">
        <v>1</v>
      </c>
    </row>
    <row r="9" spans="1:5" x14ac:dyDescent="0.25">
      <c r="A9" t="s">
        <v>42</v>
      </c>
      <c r="B9">
        <v>13.75</v>
      </c>
      <c r="C9" t="s">
        <v>51</v>
      </c>
      <c r="D9">
        <v>4.75</v>
      </c>
      <c r="E9">
        <v>2</v>
      </c>
    </row>
    <row r="10" spans="1:5" x14ac:dyDescent="0.25">
      <c r="A10" t="s">
        <v>43</v>
      </c>
      <c r="B10">
        <v>17.989999999999998</v>
      </c>
      <c r="C10" t="s">
        <v>53</v>
      </c>
      <c r="D10">
        <v>4.5</v>
      </c>
      <c r="E10">
        <v>3</v>
      </c>
    </row>
    <row r="11" spans="1:5" x14ac:dyDescent="0.25">
      <c r="A11" t="s">
        <v>44</v>
      </c>
      <c r="B11">
        <v>15.8</v>
      </c>
      <c r="C11" t="s">
        <v>54</v>
      </c>
      <c r="D11">
        <v>3.75</v>
      </c>
      <c r="E11">
        <v>4</v>
      </c>
    </row>
    <row r="12" spans="1:5" x14ac:dyDescent="0.25">
      <c r="A12" t="s">
        <v>45</v>
      </c>
      <c r="B12">
        <v>16.25</v>
      </c>
      <c r="C12" t="s">
        <v>47</v>
      </c>
      <c r="D12">
        <v>0</v>
      </c>
      <c r="E12">
        <v>5</v>
      </c>
    </row>
    <row r="13" spans="1:5" x14ac:dyDescent="0.25">
      <c r="A13" t="s">
        <v>47</v>
      </c>
      <c r="B13">
        <v>0</v>
      </c>
      <c r="E13">
        <v>6</v>
      </c>
    </row>
    <row r="16" spans="1:5" x14ac:dyDescent="0.25">
      <c r="A16" s="33" t="s">
        <v>55</v>
      </c>
      <c r="C16" s="33" t="s">
        <v>68</v>
      </c>
    </row>
    <row r="17" spans="1:14" x14ac:dyDescent="0.25">
      <c r="A17" s="30">
        <v>2</v>
      </c>
      <c r="C17" s="30">
        <v>2</v>
      </c>
    </row>
    <row r="19" spans="1:14" x14ac:dyDescent="0.25">
      <c r="A19" s="68" t="s">
        <v>56</v>
      </c>
      <c r="B19" s="69"/>
      <c r="C19" s="68" t="s">
        <v>69</v>
      </c>
      <c r="D19" s="68"/>
    </row>
    <row r="20" spans="1:14" x14ac:dyDescent="0.25">
      <c r="A20" s="30">
        <v>1</v>
      </c>
      <c r="B20" s="30" t="s">
        <v>57</v>
      </c>
      <c r="C20" s="30">
        <v>1</v>
      </c>
      <c r="D20" s="30" t="s">
        <v>70</v>
      </c>
    </row>
    <row r="21" spans="1:14" x14ac:dyDescent="0.25">
      <c r="A21" s="30">
        <v>2</v>
      </c>
      <c r="B21" s="30" t="s">
        <v>58</v>
      </c>
      <c r="C21" s="30">
        <v>2</v>
      </c>
      <c r="D21" s="30" t="s">
        <v>71</v>
      </c>
    </row>
    <row r="22" spans="1:14" x14ac:dyDescent="0.25">
      <c r="C22" s="30">
        <v>3</v>
      </c>
      <c r="D22" s="30" t="s">
        <v>72</v>
      </c>
    </row>
    <row r="28" spans="1:14" ht="15.75" thickBot="1" x14ac:dyDescent="0.3"/>
    <row r="29" spans="1:14" x14ac:dyDescent="0.25">
      <c r="A29" s="46" t="s">
        <v>23</v>
      </c>
      <c r="B29" s="47" t="s">
        <v>24</v>
      </c>
      <c r="C29" s="47" t="s">
        <v>65</v>
      </c>
      <c r="D29" s="47" t="s">
        <v>59</v>
      </c>
      <c r="E29" s="47" t="s">
        <v>60</v>
      </c>
      <c r="F29" s="47" t="s">
        <v>38</v>
      </c>
      <c r="G29" s="47" t="s">
        <v>32</v>
      </c>
      <c r="H29" s="47" t="s">
        <v>36</v>
      </c>
      <c r="I29" s="47" t="s">
        <v>61</v>
      </c>
      <c r="J29" s="47" t="s">
        <v>62</v>
      </c>
      <c r="K29" s="47" t="s">
        <v>63</v>
      </c>
      <c r="L29" s="47" t="s">
        <v>26</v>
      </c>
      <c r="M29" s="47" t="s">
        <v>64</v>
      </c>
      <c r="N29" s="44" t="s">
        <v>76</v>
      </c>
    </row>
    <row r="30" spans="1:14" x14ac:dyDescent="0.25">
      <c r="A30" s="48">
        <f>Orders!F3</f>
        <v>0</v>
      </c>
      <c r="B30" s="49">
        <f>Orders!F4</f>
        <v>0</v>
      </c>
      <c r="C30" s="49" t="str">
        <f>_xlfn.XLOOKUP(A17,A20:A21,B20:B21)</f>
        <v>Delivery</v>
      </c>
      <c r="D30" s="49" t="str">
        <f>_xlfn.XLOOKUP(D31,E2:E5,A2:A5)</f>
        <v>Pretzel Bites</v>
      </c>
      <c r="E30" s="49" t="str">
        <f>_xlfn.XLOOKUP(E31,E8:E13,A8:A13)</f>
        <v>Chicken Wings</v>
      </c>
      <c r="F30" s="49" t="str">
        <f>_xlfn.XLOOKUP(F31,E8:E13,C8:C13)</f>
        <v>Mac n Cheese</v>
      </c>
      <c r="G30" s="49" t="str">
        <f>_xlfn.XLOOKUP(G31,E2:E5,C2:C5)</f>
        <v>NY Style Cheesecake</v>
      </c>
      <c r="H30" s="49" t="str">
        <f>_xlfn.XLOOKUP(C17,C20:C22,D20:D22)</f>
        <v>Sprite</v>
      </c>
      <c r="I30" s="52">
        <f>Orders!C21</f>
        <v>40.729999999999997</v>
      </c>
      <c r="J30" s="52">
        <f>Orders!C23</f>
        <v>8.145999999999999</v>
      </c>
      <c r="K30" s="52">
        <f>Orders!C22</f>
        <v>3.25</v>
      </c>
      <c r="L30" s="52">
        <f>Orders!C24</f>
        <v>52.125999999999998</v>
      </c>
      <c r="M30" s="50">
        <f ca="1">Orders!F8</f>
        <v>0.62466666666666659</v>
      </c>
      <c r="N30" s="51">
        <f>Orders!F5</f>
        <v>0</v>
      </c>
    </row>
    <row r="31" spans="1:14" x14ac:dyDescent="0.25">
      <c r="D31">
        <v>1</v>
      </c>
      <c r="E31">
        <v>3</v>
      </c>
      <c r="F31">
        <v>2</v>
      </c>
      <c r="G31">
        <v>1</v>
      </c>
      <c r="J31" t="b">
        <v>1</v>
      </c>
    </row>
  </sheetData>
  <mergeCells count="6">
    <mergeCell ref="A19:B19"/>
    <mergeCell ref="C19:D19"/>
    <mergeCell ref="A1:B1"/>
    <mergeCell ref="C1:D1"/>
    <mergeCell ref="A7:B7"/>
    <mergeCell ref="C7:D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BE1DA-F6CF-4F2A-8B52-7B39EFB93E9A}">
  <sheetPr codeName="Sheet6"/>
  <dimension ref="A1:N3"/>
  <sheetViews>
    <sheetView workbookViewId="0">
      <selection activeCell="H14" sqref="H14"/>
    </sheetView>
  </sheetViews>
  <sheetFormatPr defaultRowHeight="15" x14ac:dyDescent="0.25"/>
  <cols>
    <col min="2" max="2" width="12.140625" bestFit="1" customWidth="1"/>
    <col min="3" max="3" width="17.28515625" bestFit="1" customWidth="1"/>
    <col min="4" max="5" width="16.7109375" bestFit="1" customWidth="1"/>
    <col min="6" max="6" width="13.28515625" bestFit="1" customWidth="1"/>
    <col min="7" max="7" width="19.5703125" bestFit="1" customWidth="1"/>
    <col min="11" max="11" width="12.140625" bestFit="1" customWidth="1"/>
    <col min="13" max="13" width="14.28515625" bestFit="1" customWidth="1"/>
    <col min="14" max="14" width="42.5703125" bestFit="1" customWidth="1"/>
  </cols>
  <sheetData>
    <row r="1" spans="1:14" s="30" customFormat="1" ht="44.25" customHeight="1" thickBot="1" x14ac:dyDescent="0.3">
      <c r="A1" s="71" t="s">
        <v>28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3"/>
    </row>
    <row r="2" spans="1:14" ht="15.75" thickBot="1" x14ac:dyDescent="0.3">
      <c r="A2" s="45" t="s">
        <v>23</v>
      </c>
      <c r="B2" s="45" t="s">
        <v>24</v>
      </c>
      <c r="C2" s="45" t="s">
        <v>65</v>
      </c>
      <c r="D2" s="45" t="s">
        <v>59</v>
      </c>
      <c r="E2" s="45" t="s">
        <v>60</v>
      </c>
      <c r="F2" s="45" t="s">
        <v>38</v>
      </c>
      <c r="G2" s="45" t="s">
        <v>32</v>
      </c>
      <c r="H2" s="45" t="s">
        <v>36</v>
      </c>
      <c r="I2" s="45" t="s">
        <v>61</v>
      </c>
      <c r="J2" s="45" t="s">
        <v>62</v>
      </c>
      <c r="K2" s="45" t="s">
        <v>63</v>
      </c>
      <c r="L2" s="45" t="s">
        <v>26</v>
      </c>
      <c r="M2" s="45" t="s">
        <v>64</v>
      </c>
      <c r="N2" s="45" t="s">
        <v>76</v>
      </c>
    </row>
    <row r="3" spans="1:14" x14ac:dyDescent="0.25">
      <c r="A3" s="48" t="s">
        <v>9</v>
      </c>
      <c r="B3" s="49" t="s">
        <v>78</v>
      </c>
      <c r="C3" s="49" t="s">
        <v>58</v>
      </c>
      <c r="D3" s="49" t="s">
        <v>39</v>
      </c>
      <c r="E3" s="49" t="s">
        <v>43</v>
      </c>
      <c r="F3" s="49" t="s">
        <v>51</v>
      </c>
      <c r="G3" s="49" t="s">
        <v>46</v>
      </c>
      <c r="H3" s="49" t="s">
        <v>71</v>
      </c>
      <c r="I3" s="52">
        <v>40.729999999999997</v>
      </c>
      <c r="J3" s="52">
        <v>8.145999999999999</v>
      </c>
      <c r="K3" s="52">
        <v>3.25</v>
      </c>
      <c r="L3" s="52">
        <v>52.125999999999998</v>
      </c>
      <c r="M3" s="50">
        <v>0.81566666666666665</v>
      </c>
      <c r="N3" s="51" t="s">
        <v>77</v>
      </c>
    </row>
  </sheetData>
  <mergeCells count="1">
    <mergeCell ref="A1:N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Ticket Order</vt:lpstr>
      <vt:lpstr>WIP</vt:lpstr>
      <vt:lpstr>Ticket Receipt</vt:lpstr>
      <vt:lpstr>Orders</vt:lpstr>
      <vt:lpstr>WIP Orders</vt:lpstr>
      <vt:lpstr>Order Receipt</vt:lpstr>
      <vt:lpstr>NoTickets</vt:lpstr>
      <vt:lpstr>PrintReceipt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Koby Manning</dc:creator>
  <cp:lastModifiedBy>Koby Manning</cp:lastModifiedBy>
  <dcterms:created xsi:type="dcterms:W3CDTF">2023-04-09T18:36:00Z</dcterms:created>
  <dcterms:modified xsi:type="dcterms:W3CDTF">2024-05-08T03:32:46Z</dcterms:modified>
</cp:coreProperties>
</file>