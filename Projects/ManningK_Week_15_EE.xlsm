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3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4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5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6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7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drawings/drawing8.xml" ContentType="application/vnd.openxmlformats-officedocument.drawing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drawings/drawing9.xml" ContentType="application/vnd.openxmlformats-officedocument.drawing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1.xml" ContentType="application/vnd.openxmlformats-officedocument.drawing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bym\Downloads\"/>
    </mc:Choice>
  </mc:AlternateContent>
  <xr:revisionPtr revIDLastSave="0" documentId="8_{BC863662-5AB3-4707-98A3-F5B1E3AFF227}" xr6:coauthVersionLast="47" xr6:coauthVersionMax="47" xr10:uidLastSave="{00000000-0000-0000-0000-000000000000}"/>
  <bookViews>
    <workbookView xWindow="-98" yWindow="-98" windowWidth="20715" windowHeight="13875" xr2:uid="{BDF606C3-55CE-4535-8B46-57A715984DDC}"/>
  </bookViews>
  <sheets>
    <sheet name="Step 13" sheetId="16" r:id="rId1"/>
    <sheet name="Step 1" sheetId="1" r:id="rId2"/>
    <sheet name="Step 2" sheetId="2" r:id="rId3"/>
    <sheet name="Step 3" sheetId="3" r:id="rId4"/>
    <sheet name="Step 4" sheetId="5" r:id="rId5"/>
    <sheet name="Step 5" sheetId="6" r:id="rId6"/>
    <sheet name="Step 6" sheetId="7" r:id="rId7"/>
    <sheet name="Step 7 (No IO)" sheetId="8" r:id="rId8"/>
    <sheet name="Step 7 (IO)" sheetId="9" r:id="rId9"/>
    <sheet name="Step 8" sheetId="11" r:id="rId10"/>
    <sheet name="Step 9" sheetId="12" r:id="rId11"/>
    <sheet name="Step 10" sheetId="13" r:id="rId12"/>
    <sheet name="Step 11" sheetId="15" r:id="rId13"/>
    <sheet name="InterestRates" sheetId="4" state="hidden" r:id="rId14"/>
  </sheets>
  <definedNames>
    <definedName name="Interest_Rates">InterestRates!$A$2:$A$28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3" i="16" l="1"/>
  <c r="F34" i="16"/>
  <c r="F31" i="16"/>
  <c r="F30" i="16"/>
  <c r="F29" i="16"/>
  <c r="F28" i="16"/>
  <c r="F9" i="16"/>
  <c r="F37" i="16" s="1"/>
  <c r="F14" i="16" s="1"/>
  <c r="J5" i="16"/>
  <c r="J6" i="16" s="1"/>
  <c r="J7" i="16" s="1"/>
  <c r="J8" i="16" s="1"/>
  <c r="J9" i="16" s="1"/>
  <c r="J4" i="16"/>
  <c r="F33" i="15"/>
  <c r="F38" i="15" s="1"/>
  <c r="F34" i="15"/>
  <c r="F31" i="15"/>
  <c r="F30" i="15"/>
  <c r="F29" i="15"/>
  <c r="F28" i="15"/>
  <c r="F9" i="15"/>
  <c r="F37" i="15" s="1"/>
  <c r="F14" i="15" s="1"/>
  <c r="J5" i="15"/>
  <c r="J6" i="15" s="1"/>
  <c r="J7" i="15" s="1"/>
  <c r="J8" i="15" s="1"/>
  <c r="J9" i="15" s="1"/>
  <c r="J4" i="15"/>
  <c r="F33" i="13"/>
  <c r="F34" i="13"/>
  <c r="F31" i="13"/>
  <c r="F30" i="13"/>
  <c r="F29" i="13"/>
  <c r="F28" i="13"/>
  <c r="F9" i="13"/>
  <c r="J4" i="13"/>
  <c r="J5" i="13" s="1"/>
  <c r="J6" i="13" s="1"/>
  <c r="J7" i="13" s="1"/>
  <c r="J8" i="13" s="1"/>
  <c r="J9" i="13" s="1"/>
  <c r="D31" i="12"/>
  <c r="H2" i="12"/>
  <c r="H3" i="12"/>
  <c r="H4" i="12" s="1"/>
  <c r="H5" i="12" s="1"/>
  <c r="H6" i="12" s="1"/>
  <c r="H7" i="12" s="1"/>
  <c r="D32" i="12"/>
  <c r="D29" i="12"/>
  <c r="D28" i="12"/>
  <c r="D27" i="12"/>
  <c r="D26" i="12"/>
  <c r="D7" i="12"/>
  <c r="D35" i="12" s="1"/>
  <c r="D12" i="12" s="1"/>
  <c r="D32" i="11"/>
  <c r="D31" i="11"/>
  <c r="D29" i="11"/>
  <c r="D28" i="11"/>
  <c r="D27" i="11"/>
  <c r="D26" i="11"/>
  <c r="D7" i="11"/>
  <c r="D35" i="11" s="1"/>
  <c r="D12" i="11" s="1"/>
  <c r="D32" i="9"/>
  <c r="D31" i="9"/>
  <c r="D29" i="9"/>
  <c r="D28" i="9"/>
  <c r="D27" i="9"/>
  <c r="D26" i="9"/>
  <c r="D7" i="9"/>
  <c r="D35" i="9" s="1"/>
  <c r="D12" i="9" s="1"/>
  <c r="D32" i="8"/>
  <c r="D31" i="8"/>
  <c r="D29" i="8"/>
  <c r="D28" i="8"/>
  <c r="D27" i="8"/>
  <c r="D26" i="8"/>
  <c r="D7" i="8"/>
  <c r="D32" i="7"/>
  <c r="D30" i="7"/>
  <c r="D29" i="7"/>
  <c r="D28" i="7"/>
  <c r="D27" i="7"/>
  <c r="D26" i="7"/>
  <c r="D7" i="7"/>
  <c r="D35" i="6"/>
  <c r="D31" i="5"/>
  <c r="D31" i="6"/>
  <c r="D30" i="6"/>
  <c r="D29" i="6"/>
  <c r="D28" i="6"/>
  <c r="D27" i="6"/>
  <c r="D26" i="6"/>
  <c r="D7" i="6"/>
  <c r="D30" i="5"/>
  <c r="D29" i="5"/>
  <c r="D28" i="5"/>
  <c r="D27" i="5"/>
  <c r="D26" i="5"/>
  <c r="D7" i="5"/>
  <c r="D7" i="3"/>
  <c r="F38" i="16" l="1"/>
  <c r="F22" i="15"/>
  <c r="K4" i="15" s="1"/>
  <c r="F39" i="15"/>
  <c r="F41" i="15"/>
  <c r="L4" i="15" s="1"/>
  <c r="F37" i="13"/>
  <c r="F14" i="13" s="1"/>
  <c r="D36" i="12"/>
  <c r="D36" i="11"/>
  <c r="D36" i="9"/>
  <c r="D35" i="8"/>
  <c r="D35" i="7"/>
  <c r="D12" i="7" s="1"/>
  <c r="D36" i="7"/>
  <c r="D34" i="6"/>
  <c r="D12" i="6"/>
  <c r="F41" i="16" l="1"/>
  <c r="L4" i="16" s="1"/>
  <c r="F39" i="16"/>
  <c r="F22" i="16"/>
  <c r="K4" i="16" s="1"/>
  <c r="M4" i="15"/>
  <c r="F40" i="15"/>
  <c r="N4" i="15" s="1"/>
  <c r="F38" i="13"/>
  <c r="F41" i="13" s="1"/>
  <c r="L4" i="13" s="1"/>
  <c r="D37" i="12"/>
  <c r="D20" i="12"/>
  <c r="I2" i="12" s="1"/>
  <c r="D39" i="12"/>
  <c r="J2" i="12" s="1"/>
  <c r="D37" i="11"/>
  <c r="D38" i="11" s="1"/>
  <c r="D20" i="11"/>
  <c r="D39" i="11"/>
  <c r="D39" i="9"/>
  <c r="D20" i="9"/>
  <c r="D37" i="9"/>
  <c r="D38" i="9" s="1"/>
  <c r="D12" i="8"/>
  <c r="D36" i="8"/>
  <c r="D39" i="8" s="1"/>
  <c r="D39" i="7"/>
  <c r="D37" i="7"/>
  <c r="D38" i="7" s="1"/>
  <c r="D20" i="7"/>
  <c r="D38" i="6"/>
  <c r="F40" i="16" l="1"/>
  <c r="N4" i="16" s="1"/>
  <c r="M4" i="16"/>
  <c r="F22" i="13"/>
  <c r="K4" i="13" s="1"/>
  <c r="F39" i="13"/>
  <c r="M4" i="13" s="1"/>
  <c r="D38" i="12"/>
  <c r="L2" i="12" s="1"/>
  <c r="K2" i="12"/>
  <c r="D37" i="8"/>
  <c r="D38" i="8" s="1"/>
  <c r="D20" i="8"/>
  <c r="D20" i="6"/>
  <c r="D36" i="6"/>
  <c r="D37" i="6" s="1"/>
  <c r="F40" i="13" l="1"/>
  <c r="N4" i="13" s="1"/>
</calcChain>
</file>

<file path=xl/sharedStrings.xml><?xml version="1.0" encoding="utf-8"?>
<sst xmlns="http://schemas.openxmlformats.org/spreadsheetml/2006/main" count="320" uniqueCount="29">
  <si>
    <t>Yacht or Boat?</t>
  </si>
  <si>
    <t>Asking Price</t>
  </si>
  <si>
    <t>Trade In:</t>
  </si>
  <si>
    <t>Total Due:</t>
  </si>
  <si>
    <t>Down Payment</t>
  </si>
  <si>
    <t>Amount Financed:</t>
  </si>
  <si>
    <t>Term:</t>
  </si>
  <si>
    <t>Interest:</t>
  </si>
  <si>
    <t>Monthly Payment:</t>
  </si>
  <si>
    <t>Annual Income (after tax):</t>
  </si>
  <si>
    <t>WIP Cells</t>
  </si>
  <si>
    <t>Trade In</t>
  </si>
  <si>
    <t>Term</t>
  </si>
  <si>
    <t>Interest</t>
  </si>
  <si>
    <t>Annual Income (after tax)</t>
  </si>
  <si>
    <t>Amount Financed</t>
  </si>
  <si>
    <t>Monthly Payment</t>
  </si>
  <si>
    <t>Total Repaid</t>
  </si>
  <si>
    <t>Total Interest</t>
  </si>
  <si>
    <t>Monthly Payments as % of income</t>
  </si>
  <si>
    <t>Form</t>
  </si>
  <si>
    <t>Calculations</t>
  </si>
  <si>
    <t>Interest Rates</t>
  </si>
  <si>
    <t>Interest Only</t>
  </si>
  <si>
    <t>Monthly
Payment</t>
  </si>
  <si>
    <t>Total
Repaid</t>
  </si>
  <si>
    <t>Total
Interest</t>
  </si>
  <si>
    <t>Monthly
Payment
as % of Income</t>
  </si>
  <si>
    <t>% of Monthly
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</si>
</sst>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164" formatCode="0.0%"/>
    <numFmt numFmtId="165" formatCode="&quot;$&quot;#,##0.00"/>
  </numFmts>
  <fonts count="8" x14ac:knownFonts="1">
    <font>
      <sz val="11"/>
      <color theme="1"/>
      <name val="Calibri"/>
      <family val="2"/>
      <scheme val="minor"/>
    </font>
    <font>
      <b/>
      <sz val="18"/>
      <color theme="4" tint="-0.24994659260841701"/>
      <name val="Calibri"/>
      <family val="2"/>
      <scheme val="minor"/>
    </font>
    <font>
      <sz val="11"/>
      <color theme="4" tint="-0.24994659260841701"/>
      <name val="Calibri"/>
      <family val="2"/>
      <scheme val="minor"/>
    </font>
    <font>
      <b/>
      <sz val="11"/>
      <color theme="4" tint="-0.24994659260841701"/>
      <name val="Calibri"/>
      <family val="2"/>
      <scheme val="minor"/>
    </font>
    <font>
      <sz val="8"/>
      <color rgb="FF000000"/>
      <name val="Segoe UI"/>
      <family val="2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6337778862885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5" tint="-0.249977111117893"/>
        <bgColor indexed="64"/>
      </patternFill>
    </fill>
  </fills>
  <borders count="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double">
        <color theme="5" tint="-0.499984740745262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/>
    <xf numFmtId="0" fontId="3" fillId="0" borderId="0" xfId="0" applyFont="1"/>
    <xf numFmtId="0" fontId="3" fillId="2" borderId="0" xfId="0" applyFont="1" applyFill="1"/>
    <xf numFmtId="0" fontId="0" fillId="0" borderId="1" xfId="0" applyBorder="1"/>
    <xf numFmtId="9" fontId="0" fillId="0" borderId="0" xfId="0" applyNumberFormat="1"/>
    <xf numFmtId="164" fontId="0" fillId="0" borderId="0" xfId="0" applyNumberFormat="1"/>
    <xf numFmtId="165" fontId="0" fillId="0" borderId="1" xfId="0" applyNumberFormat="1" applyBorder="1"/>
    <xf numFmtId="165" fontId="0" fillId="0" borderId="0" xfId="0" applyNumberFormat="1"/>
    <xf numFmtId="8" fontId="0" fillId="0" borderId="0" xfId="0" applyNumberFormat="1"/>
    <xf numFmtId="0" fontId="0" fillId="0" borderId="0" xfId="0" applyAlignment="1">
      <alignment wrapText="1"/>
    </xf>
    <xf numFmtId="0" fontId="0" fillId="0" borderId="0" xfId="0" applyProtection="1">
      <protection locked="0"/>
    </xf>
    <xf numFmtId="0" fontId="0" fillId="3" borderId="0" xfId="0" applyFill="1"/>
    <xf numFmtId="0" fontId="0" fillId="4" borderId="0" xfId="0" applyFill="1"/>
    <xf numFmtId="0" fontId="3" fillId="4" borderId="0" xfId="0" applyFont="1" applyFill="1"/>
    <xf numFmtId="165" fontId="0" fillId="4" borderId="1" xfId="0" applyNumberFormat="1" applyFill="1" applyBorder="1" applyProtection="1">
      <protection locked="0"/>
    </xf>
    <xf numFmtId="165" fontId="0" fillId="5" borderId="1" xfId="0" applyNumberFormat="1" applyFill="1" applyBorder="1"/>
    <xf numFmtId="0" fontId="0" fillId="6" borderId="0" xfId="0" applyFill="1"/>
    <xf numFmtId="164" fontId="0" fillId="4" borderId="0" xfId="0" applyNumberFormat="1" applyFill="1" applyAlignment="1">
      <alignment horizontal="center"/>
    </xf>
    <xf numFmtId="165" fontId="0" fillId="4" borderId="0" xfId="0" applyNumberFormat="1" applyFill="1" applyAlignment="1">
      <alignment horizontal="center"/>
    </xf>
    <xf numFmtId="0" fontId="6" fillId="5" borderId="2" xfId="0" applyFont="1" applyFill="1" applyBorder="1" applyAlignment="1">
      <alignment horizontal="center" wrapText="1"/>
    </xf>
    <xf numFmtId="0" fontId="5" fillId="5" borderId="2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 wrapText="1"/>
    </xf>
    <xf numFmtId="0" fontId="7" fillId="5" borderId="2" xfId="0" applyFont="1" applyFill="1" applyBorder="1" applyAlignment="1">
      <alignment horizontal="center" vertical="center"/>
    </xf>
    <xf numFmtId="0" fontId="0" fillId="4" borderId="0" xfId="0" applyFill="1"/>
    <xf numFmtId="0" fontId="1" fillId="0" borderId="0" xfId="0" applyFont="1" applyAlignment="1">
      <alignment horizontal="center"/>
    </xf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631021497928292"/>
          <c:y val="3.342829809523308E-2"/>
          <c:w val="0.2024768165770395"/>
          <c:h val="0.8468075438795779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'Step 13'!$F$41</c:f>
              <c:numCache>
                <c:formatCode>0.0%</c:formatCode>
                <c:ptCount val="1"/>
                <c:pt idx="0">
                  <c:v>0.23818317025602745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AF-4A81-9D4D-47FC0958E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534232031"/>
        <c:axId val="1534241151"/>
      </c:barChart>
      <c:catAx>
        <c:axId val="153423203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34241151"/>
        <c:crosses val="autoZero"/>
        <c:auto val="1"/>
        <c:lblAlgn val="ctr"/>
        <c:lblOffset val="100"/>
        <c:noMultiLvlLbl val="0"/>
      </c:catAx>
      <c:valAx>
        <c:axId val="153424115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4232031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0"/>
    <c:dispBlanksAs val="gap"/>
    <c:showDLblsOverMax val="0"/>
  </c:chart>
  <c:spPr>
    <a:solidFill>
      <a:schemeClr val="accent2">
        <a:lumMod val="40000"/>
        <a:lumOff val="6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</c:spPr>
          <c:explosion val="15"/>
          <c:dPt>
            <c:idx val="0"/>
            <c:bubble3D val="0"/>
            <c:spPr>
              <a:solidFill>
                <a:srgbClr val="00B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988-427E-AA15-D9824A2879D4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988-427E-AA15-D9824A2879D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Amount Financed</c:v>
              </c:pt>
              <c:pt idx="1">
                <c:v>Total Interest</c:v>
              </c:pt>
            </c:strLit>
          </c:cat>
          <c:val>
            <c:numRef>
              <c:f>('Step 13'!$F$14,'Step 13'!$F$40)</c:f>
              <c:numCache>
                <c:formatCode>"$"#,##0.00</c:formatCode>
                <c:ptCount val="2"/>
                <c:pt idx="0">
                  <c:v>148000</c:v>
                </c:pt>
                <c:pt idx="1">
                  <c:v>23491.882584339794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88-427E-AA15-D9824A2879D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solidFill>
          <a:schemeClr val="accent2">
            <a:lumMod val="40000"/>
            <a:lumOff val="6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  <a:effectLst/>
      </c:spPr>
    </c:plotArea>
    <c:plotVisOnly val="0"/>
    <c:dispBlanksAs val="gap"/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accent2">
          <a:lumMod val="40000"/>
          <a:lumOff val="6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'Step 8'!$D$39</c:f>
              <c:numCache>
                <c:formatCode>0.0%</c:formatCode>
                <c:ptCount val="1"/>
                <c:pt idx="0">
                  <c:v>0.23818317025602745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B9-4F24-BE75-967FB3D25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534232031"/>
        <c:axId val="1534241151"/>
      </c:barChart>
      <c:catAx>
        <c:axId val="153423203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34241151"/>
        <c:crosses val="autoZero"/>
        <c:auto val="1"/>
        <c:lblAlgn val="ctr"/>
        <c:lblOffset val="100"/>
        <c:noMultiLvlLbl val="0"/>
      </c:catAx>
      <c:valAx>
        <c:axId val="153424115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4232031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'Step 9'!$D$39</c:f>
              <c:numCache>
                <c:formatCode>0.0%</c:formatCode>
                <c:ptCount val="1"/>
                <c:pt idx="0">
                  <c:v>0.23818317025602745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25-48FD-BF78-ADECB4A2D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534232031"/>
        <c:axId val="1534241151"/>
      </c:barChart>
      <c:catAx>
        <c:axId val="153423203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34241151"/>
        <c:crosses val="autoZero"/>
        <c:auto val="1"/>
        <c:lblAlgn val="ctr"/>
        <c:lblOffset val="100"/>
        <c:noMultiLvlLbl val="0"/>
      </c:catAx>
      <c:valAx>
        <c:axId val="153424115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4232031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631021497928292"/>
          <c:y val="3.342829809523308E-2"/>
          <c:w val="0.2024768165770395"/>
          <c:h val="0.8468075438795779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'Step 10'!$F$41</c:f>
              <c:numCache>
                <c:formatCode>0.0%</c:formatCode>
                <c:ptCount val="1"/>
                <c:pt idx="0">
                  <c:v>0.23818317025602745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94-4798-923D-03285785E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534232031"/>
        <c:axId val="1534241151"/>
      </c:barChart>
      <c:catAx>
        <c:axId val="153423203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34241151"/>
        <c:crosses val="autoZero"/>
        <c:auto val="1"/>
        <c:lblAlgn val="ctr"/>
        <c:lblOffset val="100"/>
        <c:noMultiLvlLbl val="0"/>
      </c:catAx>
      <c:valAx>
        <c:axId val="153424115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4232031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0"/>
    <c:dispBlanksAs val="gap"/>
    <c:showDLblsOverMax val="0"/>
  </c:chart>
  <c:spPr>
    <a:solidFill>
      <a:schemeClr val="accent2">
        <a:lumMod val="40000"/>
        <a:lumOff val="6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</c:spPr>
          <c:explosion val="15"/>
          <c:dPt>
            <c:idx val="0"/>
            <c:bubble3D val="0"/>
            <c:spPr>
              <a:solidFill>
                <a:srgbClr val="00B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DD4-4451-9C04-6C555D2B5764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1DD4-4451-9C04-6C555D2B576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Amount Financed</c:v>
              </c:pt>
              <c:pt idx="1">
                <c:v>Total Interest</c:v>
              </c:pt>
            </c:strLit>
          </c:cat>
          <c:val>
            <c:numRef>
              <c:f>('Step 10'!$F$14,'Step 10'!$F$40)</c:f>
              <c:numCache>
                <c:formatCode>"$"#,##0.00</c:formatCode>
                <c:ptCount val="2"/>
                <c:pt idx="0">
                  <c:v>148000</c:v>
                </c:pt>
                <c:pt idx="1">
                  <c:v>23491.882584339794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D4-4451-9C04-6C555D2B576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solidFill>
          <a:schemeClr val="accent2">
            <a:lumMod val="40000"/>
            <a:lumOff val="6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  <a:effectLst/>
      </c:spPr>
    </c:plotArea>
    <c:plotVisOnly val="0"/>
    <c:dispBlanksAs val="gap"/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accent2">
          <a:lumMod val="40000"/>
          <a:lumOff val="6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631021497928292"/>
          <c:y val="3.342829809523308E-2"/>
          <c:w val="0.2024768165770395"/>
          <c:h val="0.8468075438795779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'Step 11'!$F$41</c:f>
              <c:numCache>
                <c:formatCode>0.0%</c:formatCode>
                <c:ptCount val="1"/>
                <c:pt idx="0">
                  <c:v>0.23818317025602745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3D-47E4-9220-5E5E4A0FF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534232031"/>
        <c:axId val="1534241151"/>
      </c:barChart>
      <c:catAx>
        <c:axId val="153423203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34241151"/>
        <c:crosses val="autoZero"/>
        <c:auto val="1"/>
        <c:lblAlgn val="ctr"/>
        <c:lblOffset val="100"/>
        <c:noMultiLvlLbl val="0"/>
      </c:catAx>
      <c:valAx>
        <c:axId val="153424115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4232031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0"/>
    <c:dispBlanksAs val="gap"/>
    <c:showDLblsOverMax val="0"/>
  </c:chart>
  <c:spPr>
    <a:solidFill>
      <a:schemeClr val="accent2">
        <a:lumMod val="40000"/>
        <a:lumOff val="6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</c:spPr>
          <c:explosion val="15"/>
          <c:dPt>
            <c:idx val="0"/>
            <c:bubble3D val="0"/>
            <c:spPr>
              <a:solidFill>
                <a:srgbClr val="00B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47E-429B-AAE3-E3F1A5755E3B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47E-429B-AAE3-E3F1A5755E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Amount Financed</c:v>
              </c:pt>
              <c:pt idx="1">
                <c:v>Total Interest</c:v>
              </c:pt>
            </c:strLit>
          </c:cat>
          <c:val>
            <c:numRef>
              <c:f>('Step 11'!$F$14,'Step 11'!$F$40)</c:f>
              <c:numCache>
                <c:formatCode>"$"#,##0.00</c:formatCode>
                <c:ptCount val="2"/>
                <c:pt idx="0">
                  <c:v>148000</c:v>
                </c:pt>
                <c:pt idx="1">
                  <c:v>23491.882584339794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7E-429B-AAE3-E3F1A5755E3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solidFill>
          <a:schemeClr val="accent2">
            <a:lumMod val="40000"/>
            <a:lumOff val="6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  <a:effectLst/>
      </c:spPr>
    </c:plotArea>
    <c:plotVisOnly val="0"/>
    <c:dispBlanksAs val="gap"/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accent2">
          <a:lumMod val="40000"/>
          <a:lumOff val="6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Radio" firstButton="1" fmlaLink="$E$30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firstButton="1" fmlaLink="$E$31" lockText="1" noThreeD="1"/>
</file>

<file path=xl/ctrlProps/ctrlProp10.xml><?xml version="1.0" encoding="utf-8"?>
<formControlPr xmlns="http://schemas.microsoft.com/office/spreadsheetml/2009/9/main" objectType="Radio" checked="Checked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Drop" dropStyle="combo" dx="22" fmlaLink="$E$33" fmlaRange="[0]!Interest_Rates" noThreeD="1" sel="3" val="0"/>
</file>

<file path=xl/ctrlProps/ctrlProp16.xml><?xml version="1.0" encoding="utf-8"?>
<formControlPr xmlns="http://schemas.microsoft.com/office/spreadsheetml/2009/9/main" objectType="CheckBox" fmlaLink="$F$32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Radio" checked="Checked" firstButton="1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firstButton="1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Radio" firstButton="1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checked="Checked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firstButton="1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checked="Checked" lockText="1" noThreeD="1"/>
</file>

<file path=xl/ctrlProps/ctrlProp45.xml><?xml version="1.0" encoding="utf-8"?>
<formControlPr xmlns="http://schemas.microsoft.com/office/spreadsheetml/2009/9/main" objectType="Drop" dropStyle="combo" dx="22" fmlaRange="[0]!Interest_Rates" noThreeD="1" sel="3" val="0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GBox" noThreeD="1"/>
</file>

<file path=xl/ctrlProps/ctrlProp48.xml><?xml version="1.0" encoding="utf-8"?>
<formControlPr xmlns="http://schemas.microsoft.com/office/spreadsheetml/2009/9/main" objectType="Radio" firstButton="1" fmlaLink="$C$28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checked="Checked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firstButton="1" fmlaLink="$C$29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checked="Checked" lockText="1" noThreeD="1"/>
</file>

<file path=xl/ctrlProps/ctrlProp60.xml><?xml version="1.0" encoding="utf-8"?>
<formControlPr xmlns="http://schemas.microsoft.com/office/spreadsheetml/2009/9/main" objectType="Drop" dropStyle="combo" dx="22" fmlaLink="$C$30" fmlaRange="[0]!Interest_Rates" noThreeD="1" sel="3" val="0"/>
</file>

<file path=xl/ctrlProps/ctrlProp61.xml><?xml version="1.0" encoding="utf-8"?>
<formControlPr xmlns="http://schemas.microsoft.com/office/spreadsheetml/2009/9/main" objectType="GBox" noThreeD="1"/>
</file>

<file path=xl/ctrlProps/ctrlProp62.xml><?xml version="1.0" encoding="utf-8"?>
<formControlPr xmlns="http://schemas.microsoft.com/office/spreadsheetml/2009/9/main" objectType="GBox" noThreeD="1"/>
</file>

<file path=xl/ctrlProps/ctrlProp63.xml><?xml version="1.0" encoding="utf-8"?>
<formControlPr xmlns="http://schemas.microsoft.com/office/spreadsheetml/2009/9/main" objectType="Radio" firstButton="1" fmlaLink="$C$28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checked="Checked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firstButton="1" fmlaLink="$C$29" lockText="1" noThreeD="1"/>
</file>

<file path=xl/ctrlProps/ctrlProp70.xml><?xml version="1.0" encoding="utf-8"?>
<formControlPr xmlns="http://schemas.microsoft.com/office/spreadsheetml/2009/9/main" objectType="Radio" checked="Checked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Drop" dropStyle="combo" dx="22" fmlaLink="$C$30" fmlaRange="[0]!Interest_Rates" noThreeD="1" sel="3" val="0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GBox" noThreeD="1"/>
</file>

<file path=xl/ctrlProps/ctrlProp78.xml><?xml version="1.0" encoding="utf-8"?>
<formControlPr xmlns="http://schemas.microsoft.com/office/spreadsheetml/2009/9/main" objectType="Radio" firstButton="1" fmlaLink="$C$28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checked="Checked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firstButton="1" fmlaLink="$C$29" lockText="1" noThreeD="1"/>
</file>

<file path=xl/ctrlProps/ctrlProp85.xml><?xml version="1.0" encoding="utf-8"?>
<formControlPr xmlns="http://schemas.microsoft.com/office/spreadsheetml/2009/9/main" objectType="Radio" checked="Checked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Drop" dropStyle="combo" dx="22" fmlaLink="$C$30" fmlaRange="[0]!Interest_Rates" noThreeD="1" sel="3" val="0"/>
</file>

<file path=xl/ctrlProps/ctrlProp91.xml><?xml version="1.0" encoding="utf-8"?>
<formControlPr xmlns="http://schemas.microsoft.com/office/spreadsheetml/2009/9/main" objectType="CheckBox" checked="Checked" fmlaLink="$D$31" lockText="1" noThreeD="1"/>
</file>

<file path=xl/ctrlProps/ctrlProp92.xml><?xml version="1.0" encoding="utf-8"?>
<formControlPr xmlns="http://schemas.microsoft.com/office/spreadsheetml/2009/9/main" objectType="GBox" noThreeD="1"/>
</file>

<file path=xl/ctrlProps/ctrlProp93.xml><?xml version="1.0" encoding="utf-8"?>
<formControlPr xmlns="http://schemas.microsoft.com/office/spreadsheetml/2009/9/main" objectType="GBox" noThreeD="1"/>
</file>

<file path=xl/ctrlProps/ctrlProp94.xml><?xml version="1.0" encoding="utf-8"?>
<formControlPr xmlns="http://schemas.microsoft.com/office/spreadsheetml/2009/9/main" objectType="Radio" firstButton="1" fmlaLink="$C$28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Radio" checked="Checked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Radio" lockText="1" noThreeD="1"/>
</file>

<file path=xl/ctrlProps/ctrlProp100.xml><?xml version="1.0" encoding="utf-8"?>
<formControlPr xmlns="http://schemas.microsoft.com/office/spreadsheetml/2009/9/main" objectType="Radio" firstButton="1" fmlaLink="$C$29" lockText="1" noThreeD="1"/>
</file>

<file path=xl/ctrlProps/ctrlProp101.xml><?xml version="1.0" encoding="utf-8"?>
<formControlPr xmlns="http://schemas.microsoft.com/office/spreadsheetml/2009/9/main" objectType="Radio" checked="Checked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Radio" lockText="1" noThreeD="1"/>
</file>

<file path=xl/ctrlProps/ctrlProp106.xml><?xml version="1.0" encoding="utf-8"?>
<formControlPr xmlns="http://schemas.microsoft.com/office/spreadsheetml/2009/9/main" objectType="Drop" dropStyle="combo" dx="22" fmlaLink="$C$31" fmlaRange="[0]!Interest_Rates" noThreeD="1" sel="3" val="0"/>
</file>

<file path=xl/ctrlProps/ctrlProp107.xml><?xml version="1.0" encoding="utf-8"?>
<formControlPr xmlns="http://schemas.microsoft.com/office/spreadsheetml/2009/9/main" objectType="CheckBox" fmlaLink="$D$30" lockText="1" noThreeD="1"/>
</file>

<file path=xl/ctrlProps/ctrlProp108.xml><?xml version="1.0" encoding="utf-8"?>
<formControlPr xmlns="http://schemas.microsoft.com/office/spreadsheetml/2009/9/main" objectType="GBox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Radio" firstButton="1" fmlaLink="$C$28" lockText="1" noThreeD="1"/>
</file>

<file path=xl/ctrlProps/ctrlProp111.xml><?xml version="1.0" encoding="utf-8"?>
<formControlPr xmlns="http://schemas.microsoft.com/office/spreadsheetml/2009/9/main" objectType="Radio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Radio" checked="Checked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firstButton="1" fmlaLink="$C$29" lockText="1" noThreeD="1"/>
</file>

<file path=xl/ctrlProps/ctrlProp117.xml><?xml version="1.0" encoding="utf-8"?>
<formControlPr xmlns="http://schemas.microsoft.com/office/spreadsheetml/2009/9/main" objectType="Radio" checked="Checked" lockText="1" noThreeD="1"/>
</file>

<file path=xl/ctrlProps/ctrlProp118.xml><?xml version="1.0" encoding="utf-8"?>
<formControlPr xmlns="http://schemas.microsoft.com/office/spreadsheetml/2009/9/main" objectType="Radio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Radio" lockText="1" noThreeD="1"/>
</file>

<file path=xl/ctrlProps/ctrlProp121.xml><?xml version="1.0" encoding="utf-8"?>
<formControlPr xmlns="http://schemas.microsoft.com/office/spreadsheetml/2009/9/main" objectType="Radio" lockText="1" noThreeD="1"/>
</file>

<file path=xl/ctrlProps/ctrlProp122.xml><?xml version="1.0" encoding="utf-8"?>
<formControlPr xmlns="http://schemas.microsoft.com/office/spreadsheetml/2009/9/main" objectType="Drop" dropStyle="combo" dx="22" fmlaLink="$C$31" fmlaRange="[0]!Interest_Rates" noThreeD="1" sel="3" val="0"/>
</file>

<file path=xl/ctrlProps/ctrlProp123.xml><?xml version="1.0" encoding="utf-8"?>
<formControlPr xmlns="http://schemas.microsoft.com/office/spreadsheetml/2009/9/main" objectType="CheckBox" fmlaLink="$D$30" lockText="1" noThreeD="1"/>
</file>

<file path=xl/ctrlProps/ctrlProp124.xml><?xml version="1.0" encoding="utf-8"?>
<formControlPr xmlns="http://schemas.microsoft.com/office/spreadsheetml/2009/9/main" objectType="GBox" noThreeD="1"/>
</file>

<file path=xl/ctrlProps/ctrlProp125.xml><?xml version="1.0" encoding="utf-8"?>
<formControlPr xmlns="http://schemas.microsoft.com/office/spreadsheetml/2009/9/main" objectType="GBox" noThreeD="1"/>
</file>

<file path=xl/ctrlProps/ctrlProp126.xml><?xml version="1.0" encoding="utf-8"?>
<formControlPr xmlns="http://schemas.microsoft.com/office/spreadsheetml/2009/9/main" objectType="Radio" firstButton="1" fmlaLink="$C$28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Radio" lockText="1" noThreeD="1"/>
</file>

<file path=xl/ctrlProps/ctrlProp129.xml><?xml version="1.0" encoding="utf-8"?>
<formControlPr xmlns="http://schemas.microsoft.com/office/spreadsheetml/2009/9/main" objectType="Radio" checked="Checked" lockText="1" noThreeD="1"/>
</file>

<file path=xl/ctrlProps/ctrlProp130.xml><?xml version="1.0" encoding="utf-8"?>
<formControlPr xmlns="http://schemas.microsoft.com/office/spreadsheetml/2009/9/main" objectType="Radio" lockText="1" noThreeD="1"/>
</file>

<file path=xl/ctrlProps/ctrlProp131.xml><?xml version="1.0" encoding="utf-8"?>
<formControlPr xmlns="http://schemas.microsoft.com/office/spreadsheetml/2009/9/main" objectType="Radio" lockText="1" noThreeD="1"/>
</file>

<file path=xl/ctrlProps/ctrlProp132.xml><?xml version="1.0" encoding="utf-8"?>
<formControlPr xmlns="http://schemas.microsoft.com/office/spreadsheetml/2009/9/main" objectType="Radio" firstButton="1" fmlaLink="$C$29" lockText="1" noThreeD="1"/>
</file>

<file path=xl/ctrlProps/ctrlProp133.xml><?xml version="1.0" encoding="utf-8"?>
<formControlPr xmlns="http://schemas.microsoft.com/office/spreadsheetml/2009/9/main" objectType="Radio" checked="Checked" lockText="1" noThreeD="1"/>
</file>

<file path=xl/ctrlProps/ctrlProp134.xml><?xml version="1.0" encoding="utf-8"?>
<formControlPr xmlns="http://schemas.microsoft.com/office/spreadsheetml/2009/9/main" objectType="Radio" lockText="1" noThreeD="1"/>
</file>

<file path=xl/ctrlProps/ctrlProp135.xml><?xml version="1.0" encoding="utf-8"?>
<formControlPr xmlns="http://schemas.microsoft.com/office/spreadsheetml/2009/9/main" objectType="Radio" lockText="1" noThreeD="1"/>
</file>

<file path=xl/ctrlProps/ctrlProp136.xml><?xml version="1.0" encoding="utf-8"?>
<formControlPr xmlns="http://schemas.microsoft.com/office/spreadsheetml/2009/9/main" objectType="Radio" lockText="1" noThreeD="1"/>
</file>

<file path=xl/ctrlProps/ctrlProp137.xml><?xml version="1.0" encoding="utf-8"?>
<formControlPr xmlns="http://schemas.microsoft.com/office/spreadsheetml/2009/9/main" objectType="Radio" lockText="1" noThreeD="1"/>
</file>

<file path=xl/ctrlProps/ctrlProp138.xml><?xml version="1.0" encoding="utf-8"?>
<formControlPr xmlns="http://schemas.microsoft.com/office/spreadsheetml/2009/9/main" objectType="Drop" dropStyle="combo" dx="22" fmlaLink="$C$31" fmlaRange="[0]!Interest_Rates" noThreeD="1" sel="3" val="0"/>
</file>

<file path=xl/ctrlProps/ctrlProp139.xml><?xml version="1.0" encoding="utf-8"?>
<formControlPr xmlns="http://schemas.microsoft.com/office/spreadsheetml/2009/9/main" objectType="CheckBox" fmlaLink="$D$30" lockText="1" noThreeD="1"/>
</file>

<file path=xl/ctrlProps/ctrlProp140.xml><?xml version="1.0" encoding="utf-8"?>
<formControlPr xmlns="http://schemas.microsoft.com/office/spreadsheetml/2009/9/main" objectType="GBox" noThreeD="1"/>
</file>

<file path=xl/ctrlProps/ctrlProp141.xml><?xml version="1.0" encoding="utf-8"?>
<formControlPr xmlns="http://schemas.microsoft.com/office/spreadsheetml/2009/9/main" objectType="GBox" noThreeD="1"/>
</file>

<file path=xl/ctrlProps/ctrlProp142.xml><?xml version="1.0" encoding="utf-8"?>
<formControlPr xmlns="http://schemas.microsoft.com/office/spreadsheetml/2009/9/main" objectType="Radio" firstButton="1" fmlaLink="$C$28" lockText="1" noThreeD="1"/>
</file>

<file path=xl/ctrlProps/ctrlProp143.xml><?xml version="1.0" encoding="utf-8"?>
<formControlPr xmlns="http://schemas.microsoft.com/office/spreadsheetml/2009/9/main" objectType="Radio" lockText="1" noThreeD="1"/>
</file>

<file path=xl/ctrlProps/ctrlProp144.xml><?xml version="1.0" encoding="utf-8"?>
<formControlPr xmlns="http://schemas.microsoft.com/office/spreadsheetml/2009/9/main" objectType="Radio" lockText="1" noThreeD="1"/>
</file>

<file path=xl/ctrlProps/ctrlProp145.xml><?xml version="1.0" encoding="utf-8"?>
<formControlPr xmlns="http://schemas.microsoft.com/office/spreadsheetml/2009/9/main" objectType="Radio" checked="Checked" lockText="1" noThreeD="1"/>
</file>

<file path=xl/ctrlProps/ctrlProp146.xml><?xml version="1.0" encoding="utf-8"?>
<formControlPr xmlns="http://schemas.microsoft.com/office/spreadsheetml/2009/9/main" objectType="Radio" lockText="1" noThreeD="1"/>
</file>

<file path=xl/ctrlProps/ctrlProp147.xml><?xml version="1.0" encoding="utf-8"?>
<formControlPr xmlns="http://schemas.microsoft.com/office/spreadsheetml/2009/9/main" objectType="Radio" lockText="1" noThreeD="1"/>
</file>

<file path=xl/ctrlProps/ctrlProp148.xml><?xml version="1.0" encoding="utf-8"?>
<formControlPr xmlns="http://schemas.microsoft.com/office/spreadsheetml/2009/9/main" objectType="Radio" firstButton="1" fmlaLink="$C$29" lockText="1" noThreeD="1"/>
</file>

<file path=xl/ctrlProps/ctrlProp149.xml><?xml version="1.0" encoding="utf-8"?>
<formControlPr xmlns="http://schemas.microsoft.com/office/spreadsheetml/2009/9/main" objectType="Radio" checked="Checked" lockText="1" noThreeD="1"/>
</file>

<file path=xl/ctrlProps/ctrlProp150.xml><?xml version="1.0" encoding="utf-8"?>
<formControlPr xmlns="http://schemas.microsoft.com/office/spreadsheetml/2009/9/main" objectType="Radio" lockText="1" noThreeD="1"/>
</file>

<file path=xl/ctrlProps/ctrlProp151.xml><?xml version="1.0" encoding="utf-8"?>
<formControlPr xmlns="http://schemas.microsoft.com/office/spreadsheetml/2009/9/main" objectType="Radio" lockText="1" noThreeD="1"/>
</file>

<file path=xl/ctrlProps/ctrlProp152.xml><?xml version="1.0" encoding="utf-8"?>
<formControlPr xmlns="http://schemas.microsoft.com/office/spreadsheetml/2009/9/main" objectType="Radio" lockText="1" noThreeD="1"/>
</file>

<file path=xl/ctrlProps/ctrlProp153.xml><?xml version="1.0" encoding="utf-8"?>
<formControlPr xmlns="http://schemas.microsoft.com/office/spreadsheetml/2009/9/main" objectType="Radio" lockText="1" noThreeD="1"/>
</file>

<file path=xl/ctrlProps/ctrlProp154.xml><?xml version="1.0" encoding="utf-8"?>
<formControlPr xmlns="http://schemas.microsoft.com/office/spreadsheetml/2009/9/main" objectType="Drop" dropStyle="combo" dx="22" fmlaLink="$C$31" fmlaRange="[0]!Interest_Rates" noThreeD="1" sel="3" val="0"/>
</file>

<file path=xl/ctrlProps/ctrlProp155.xml><?xml version="1.0" encoding="utf-8"?>
<formControlPr xmlns="http://schemas.microsoft.com/office/spreadsheetml/2009/9/main" objectType="CheckBox" fmlaLink="$D$30" lockText="1" noThreeD="1"/>
</file>

<file path=xl/ctrlProps/ctrlProp156.xml><?xml version="1.0" encoding="utf-8"?>
<formControlPr xmlns="http://schemas.microsoft.com/office/spreadsheetml/2009/9/main" objectType="GBox" noThreeD="1"/>
</file>

<file path=xl/ctrlProps/ctrlProp157.xml><?xml version="1.0" encoding="utf-8"?>
<formControlPr xmlns="http://schemas.microsoft.com/office/spreadsheetml/2009/9/main" objectType="GBox" noThreeD="1"/>
</file>

<file path=xl/ctrlProps/ctrlProp158.xml><?xml version="1.0" encoding="utf-8"?>
<formControlPr xmlns="http://schemas.microsoft.com/office/spreadsheetml/2009/9/main" objectType="Radio" firstButton="1" fmlaLink="$E$30" lockText="1" noThreeD="1"/>
</file>

<file path=xl/ctrlProps/ctrlProp159.xml><?xml version="1.0" encoding="utf-8"?>
<formControlPr xmlns="http://schemas.microsoft.com/office/spreadsheetml/2009/9/main" objectType="Radio" lockText="1" noThreeD="1"/>
</file>

<file path=xl/ctrlProps/ctrlProp160.xml><?xml version="1.0" encoding="utf-8"?>
<formControlPr xmlns="http://schemas.microsoft.com/office/spreadsheetml/2009/9/main" objectType="Radio" lockText="1" noThreeD="1"/>
</file>

<file path=xl/ctrlProps/ctrlProp161.xml><?xml version="1.0" encoding="utf-8"?>
<formControlPr xmlns="http://schemas.microsoft.com/office/spreadsheetml/2009/9/main" objectType="Radio" checked="Checked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Radio" firstButton="1" fmlaLink="$E$31" lockText="1" noThreeD="1"/>
</file>

<file path=xl/ctrlProps/ctrlProp165.xml><?xml version="1.0" encoding="utf-8"?>
<formControlPr xmlns="http://schemas.microsoft.com/office/spreadsheetml/2009/9/main" objectType="Radio" checked="Checked" lockText="1" noThreeD="1"/>
</file>

<file path=xl/ctrlProps/ctrlProp166.xml><?xml version="1.0" encoding="utf-8"?>
<formControlPr xmlns="http://schemas.microsoft.com/office/spreadsheetml/2009/9/main" objectType="Radio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Drop" dropStyle="combo" dx="22" fmlaLink="$E$33" fmlaRange="[0]!Interest_Rates" noThreeD="1" sel="3" val="0"/>
</file>

<file path=xl/ctrlProps/ctrlProp171.xml><?xml version="1.0" encoding="utf-8"?>
<formControlPr xmlns="http://schemas.microsoft.com/office/spreadsheetml/2009/9/main" objectType="CheckBox" fmlaLink="$F$32" lockText="1" noThreeD="1"/>
</file>

<file path=xl/ctrlProps/ctrlProp172.xml><?xml version="1.0" encoding="utf-8"?>
<formControlPr xmlns="http://schemas.microsoft.com/office/spreadsheetml/2009/9/main" objectType="GBox" noThreeD="1"/>
</file>

<file path=xl/ctrlProps/ctrlProp173.xml><?xml version="1.0" encoding="utf-8"?>
<formControlPr xmlns="http://schemas.microsoft.com/office/spreadsheetml/2009/9/main" objectType="GBox" noThreeD="1"/>
</file>

<file path=xl/ctrlProps/ctrlProp174.xml><?xml version="1.0" encoding="utf-8"?>
<formControlPr xmlns="http://schemas.microsoft.com/office/spreadsheetml/2009/9/main" objectType="Radio" firstButton="1" fmlaLink="$E$30" lockText="1" noThreeD="1"/>
</file>

<file path=xl/ctrlProps/ctrlProp175.xml><?xml version="1.0" encoding="utf-8"?>
<formControlPr xmlns="http://schemas.microsoft.com/office/spreadsheetml/2009/9/main" objectType="Radio" lockText="1" noThreeD="1"/>
</file>

<file path=xl/ctrlProps/ctrlProp176.xml><?xml version="1.0" encoding="utf-8"?>
<formControlPr xmlns="http://schemas.microsoft.com/office/spreadsheetml/2009/9/main" objectType="Radio" lockText="1" noThreeD="1"/>
</file>

<file path=xl/ctrlProps/ctrlProp177.xml><?xml version="1.0" encoding="utf-8"?>
<formControlPr xmlns="http://schemas.microsoft.com/office/spreadsheetml/2009/9/main" objectType="Radio" checked="Checked" lockText="1" noThreeD="1"/>
</file>

<file path=xl/ctrlProps/ctrlProp178.xml><?xml version="1.0" encoding="utf-8"?>
<formControlPr xmlns="http://schemas.microsoft.com/office/spreadsheetml/2009/9/main" objectType="Radio" lockText="1" noThreeD="1"/>
</file>

<file path=xl/ctrlProps/ctrlProp179.xml><?xml version="1.0" encoding="utf-8"?>
<formControlPr xmlns="http://schemas.microsoft.com/office/spreadsheetml/2009/9/main" objectType="Radio" lockText="1" noThreeD="1"/>
</file>

<file path=xl/ctrlProps/ctrlProp180.xml><?xml version="1.0" encoding="utf-8"?>
<formControlPr xmlns="http://schemas.microsoft.com/office/spreadsheetml/2009/9/main" objectType="Radio" firstButton="1" fmlaLink="$E$31" lockText="1" noThreeD="1"/>
</file>

<file path=xl/ctrlProps/ctrlProp181.xml><?xml version="1.0" encoding="utf-8"?>
<formControlPr xmlns="http://schemas.microsoft.com/office/spreadsheetml/2009/9/main" objectType="Radio" checked="Checked" lockText="1" noThreeD="1"/>
</file>

<file path=xl/ctrlProps/ctrlProp182.xml><?xml version="1.0" encoding="utf-8"?>
<formControlPr xmlns="http://schemas.microsoft.com/office/spreadsheetml/2009/9/main" objectType="Radio" lockText="1" noThreeD="1"/>
</file>

<file path=xl/ctrlProps/ctrlProp183.xml><?xml version="1.0" encoding="utf-8"?>
<formControlPr xmlns="http://schemas.microsoft.com/office/spreadsheetml/2009/9/main" objectType="Radio" lockText="1" noThreeD="1"/>
</file>

<file path=xl/ctrlProps/ctrlProp184.xml><?xml version="1.0" encoding="utf-8"?>
<formControlPr xmlns="http://schemas.microsoft.com/office/spreadsheetml/2009/9/main" objectType="Radio" lockText="1" noThreeD="1"/>
</file>

<file path=xl/ctrlProps/ctrlProp185.xml><?xml version="1.0" encoding="utf-8"?>
<formControlPr xmlns="http://schemas.microsoft.com/office/spreadsheetml/2009/9/main" objectType="Radio" lockText="1" noThreeD="1"/>
</file>

<file path=xl/ctrlProps/ctrlProp186.xml><?xml version="1.0" encoding="utf-8"?>
<formControlPr xmlns="http://schemas.microsoft.com/office/spreadsheetml/2009/9/main" objectType="Drop" dropStyle="combo" dx="22" fmlaLink="$E$33" fmlaRange="[0]!Interest_Rates" noThreeD="1" sel="3" val="0"/>
</file>

<file path=xl/ctrlProps/ctrlProp187.xml><?xml version="1.0" encoding="utf-8"?>
<formControlPr xmlns="http://schemas.microsoft.com/office/spreadsheetml/2009/9/main" objectType="CheckBox" fmlaLink="$F$32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ankrate.com/loans/personal-loans/how-to-calculate-loan-payments/" TargetMode="Externa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ankrate.com/loans/personal-loans/how-to-calculate-loan-payments/" TargetMode="Externa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0</xdr:rowOff>
        </xdr:from>
        <xdr:to>
          <xdr:col>5</xdr:col>
          <xdr:colOff>1228725</xdr:colOff>
          <xdr:row>12</xdr:row>
          <xdr:rowOff>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0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Down Payment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14</xdr:row>
          <xdr:rowOff>180975</xdr:rowOff>
        </xdr:from>
        <xdr:to>
          <xdr:col>5</xdr:col>
          <xdr:colOff>1228725</xdr:colOff>
          <xdr:row>18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0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10</xdr:row>
          <xdr:rowOff>66675</xdr:rowOff>
        </xdr:from>
        <xdr:to>
          <xdr:col>3</xdr:col>
          <xdr:colOff>609600</xdr:colOff>
          <xdr:row>11</xdr:row>
          <xdr:rowOff>147638</xdr:rowOff>
        </xdr:to>
        <xdr:sp macro="" textlink="">
          <xdr:nvSpPr>
            <xdr:cNvPr id="19459" name="Option 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0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10</xdr:row>
          <xdr:rowOff>66675</xdr:rowOff>
        </xdr:from>
        <xdr:to>
          <xdr:col>3</xdr:col>
          <xdr:colOff>1314450</xdr:colOff>
          <xdr:row>11</xdr:row>
          <xdr:rowOff>147638</xdr:rowOff>
        </xdr:to>
        <xdr:sp macro="" textlink="">
          <xdr:nvSpPr>
            <xdr:cNvPr id="19460" name="Option 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1495425</xdr:colOff>
          <xdr:row>10</xdr:row>
          <xdr:rowOff>76200</xdr:rowOff>
        </xdr:from>
        <xdr:to>
          <xdr:col>3</xdr:col>
          <xdr:colOff>1971675</xdr:colOff>
          <xdr:row>11</xdr:row>
          <xdr:rowOff>133350</xdr:rowOff>
        </xdr:to>
        <xdr:sp macro="" textlink="">
          <xdr:nvSpPr>
            <xdr:cNvPr id="19461" name="Option 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76200</xdr:rowOff>
        </xdr:from>
        <xdr:to>
          <xdr:col>4</xdr:col>
          <xdr:colOff>514350</xdr:colOff>
          <xdr:row>11</xdr:row>
          <xdr:rowOff>133350</xdr:rowOff>
        </xdr:to>
        <xdr:sp macro="" textlink="">
          <xdr:nvSpPr>
            <xdr:cNvPr id="19462" name="Option 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10</xdr:row>
          <xdr:rowOff>85725</xdr:rowOff>
        </xdr:from>
        <xdr:to>
          <xdr:col>5</xdr:col>
          <xdr:colOff>552450</xdr:colOff>
          <xdr:row>11</xdr:row>
          <xdr:rowOff>114300</xdr:rowOff>
        </xdr:to>
        <xdr:sp macro="" textlink="">
          <xdr:nvSpPr>
            <xdr:cNvPr id="19463" name="Option 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0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10</xdr:row>
          <xdr:rowOff>85725</xdr:rowOff>
        </xdr:from>
        <xdr:to>
          <xdr:col>5</xdr:col>
          <xdr:colOff>1195388</xdr:colOff>
          <xdr:row>11</xdr:row>
          <xdr:rowOff>114300</xdr:rowOff>
        </xdr:to>
        <xdr:sp macro="" textlink="">
          <xdr:nvSpPr>
            <xdr:cNvPr id="19464" name="Option 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0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15</xdr:row>
          <xdr:rowOff>95250</xdr:rowOff>
        </xdr:from>
        <xdr:to>
          <xdr:col>3</xdr:col>
          <xdr:colOff>1085850</xdr:colOff>
          <xdr:row>16</xdr:row>
          <xdr:rowOff>85725</xdr:rowOff>
        </xdr:to>
        <xdr:sp macro="" textlink="">
          <xdr:nvSpPr>
            <xdr:cNvPr id="19465" name="Option Button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0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1514475</xdr:colOff>
          <xdr:row>15</xdr:row>
          <xdr:rowOff>85725</xdr:rowOff>
        </xdr:from>
        <xdr:to>
          <xdr:col>4</xdr:col>
          <xdr:colOff>28575</xdr:colOff>
          <xdr:row>16</xdr:row>
          <xdr:rowOff>76200</xdr:rowOff>
        </xdr:to>
        <xdr:sp macro="" textlink="">
          <xdr:nvSpPr>
            <xdr:cNvPr id="19466" name="Option Button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0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15</xdr:row>
          <xdr:rowOff>85725</xdr:rowOff>
        </xdr:from>
        <xdr:to>
          <xdr:col>5</xdr:col>
          <xdr:colOff>819150</xdr:colOff>
          <xdr:row>16</xdr:row>
          <xdr:rowOff>76200</xdr:rowOff>
        </xdr:to>
        <xdr:sp macro="" textlink="">
          <xdr:nvSpPr>
            <xdr:cNvPr id="19467" name="Option Button 11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0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16</xdr:row>
          <xdr:rowOff>104775</xdr:rowOff>
        </xdr:from>
        <xdr:to>
          <xdr:col>3</xdr:col>
          <xdr:colOff>1085850</xdr:colOff>
          <xdr:row>17</xdr:row>
          <xdr:rowOff>95250</xdr:rowOff>
        </xdr:to>
        <xdr:sp macro="" textlink="">
          <xdr:nvSpPr>
            <xdr:cNvPr id="19468" name="Option Button 12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00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1514475</xdr:colOff>
          <xdr:row>16</xdr:row>
          <xdr:rowOff>104775</xdr:rowOff>
        </xdr:from>
        <xdr:to>
          <xdr:col>4</xdr:col>
          <xdr:colOff>28575</xdr:colOff>
          <xdr:row>17</xdr:row>
          <xdr:rowOff>95250</xdr:rowOff>
        </xdr:to>
        <xdr:sp macro="" textlink="">
          <xdr:nvSpPr>
            <xdr:cNvPr id="19469" name="Option Button 13" hidden="1">
              <a:extLst>
                <a:ext uri="{63B3BB69-23CF-44E3-9099-C40C66FF867C}">
                  <a14:compatExt spid="_x0000_s19469"/>
                </a:ext>
                <a:ext uri="{FF2B5EF4-FFF2-40B4-BE49-F238E27FC236}">
                  <a16:creationId xmlns:a16="http://schemas.microsoft.com/office/drawing/2014/main" id="{00000000-0008-0000-0000-00000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16</xdr:row>
          <xdr:rowOff>104775</xdr:rowOff>
        </xdr:from>
        <xdr:to>
          <xdr:col>5</xdr:col>
          <xdr:colOff>819150</xdr:colOff>
          <xdr:row>17</xdr:row>
          <xdr:rowOff>95250</xdr:rowOff>
        </xdr:to>
        <xdr:sp macro="" textlink="">
          <xdr:nvSpPr>
            <xdr:cNvPr id="19470" name="Option Button 14" hidden="1">
              <a:extLst>
                <a:ext uri="{63B3BB69-23CF-44E3-9099-C40C66FF867C}">
                  <a14:compatExt spid="_x0000_s19470"/>
                </a:ext>
                <a:ext uri="{FF2B5EF4-FFF2-40B4-BE49-F238E27FC236}">
                  <a16:creationId xmlns:a16="http://schemas.microsoft.com/office/drawing/2014/main" id="{00000000-0008-0000-0000-00000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619125</xdr:colOff>
          <xdr:row>19</xdr:row>
          <xdr:rowOff>0</xdr:rowOff>
        </xdr:from>
        <xdr:to>
          <xdr:col>3</xdr:col>
          <xdr:colOff>2052638</xdr:colOff>
          <xdr:row>20</xdr:row>
          <xdr:rowOff>9525</xdr:rowOff>
        </xdr:to>
        <xdr:sp macro="" textlink="">
          <xdr:nvSpPr>
            <xdr:cNvPr id="19471" name="Drop Down 15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0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18</xdr:row>
          <xdr:rowOff>171450</xdr:rowOff>
        </xdr:from>
        <xdr:to>
          <xdr:col>5</xdr:col>
          <xdr:colOff>1290638</xdr:colOff>
          <xdr:row>20</xdr:row>
          <xdr:rowOff>9525</xdr:rowOff>
        </xdr:to>
        <xdr:sp macro="" textlink="">
          <xdr:nvSpPr>
            <xdr:cNvPr id="19472" name="Check Box 16" hidden="1">
              <a:extLst>
                <a:ext uri="{63B3BB69-23CF-44E3-9099-C40C66FF867C}">
                  <a14:compatExt spid="_x0000_s19472"/>
                </a:ext>
                <a:ext uri="{FF2B5EF4-FFF2-40B4-BE49-F238E27FC236}">
                  <a16:creationId xmlns:a16="http://schemas.microsoft.com/office/drawing/2014/main" id="{00000000-0008-0000-0000-00001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Interest Only Loan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13588</xdr:colOff>
      <xdr:row>3</xdr:row>
      <xdr:rowOff>44823</xdr:rowOff>
    </xdr:from>
    <xdr:to>
      <xdr:col>8</xdr:col>
      <xdr:colOff>1</xdr:colOff>
      <xdr:row>25</xdr:row>
      <xdr:rowOff>11205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428626</xdr:colOff>
      <xdr:row>21</xdr:row>
      <xdr:rowOff>53627</xdr:rowOff>
    </xdr:from>
    <xdr:to>
      <xdr:col>7</xdr:col>
      <xdr:colOff>913279</xdr:colOff>
      <xdr:row>23</xdr:row>
      <xdr:rowOff>106455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24601" y="4363690"/>
          <a:ext cx="484653" cy="424303"/>
        </a:xfrm>
        <a:prstGeom prst="ellipse">
          <a:avLst/>
        </a:prstGeom>
        <a:solidFill>
          <a:schemeClr val="accent5">
            <a:lumMod val="75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16809</xdr:colOff>
      <xdr:row>10</xdr:row>
      <xdr:rowOff>16809</xdr:rowOff>
    </xdr:from>
    <xdr:to>
      <xdr:col>12</xdr:col>
      <xdr:colOff>683559</xdr:colOff>
      <xdr:row>24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280147</xdr:colOff>
      <xdr:row>10</xdr:row>
      <xdr:rowOff>134470</xdr:rowOff>
    </xdr:from>
    <xdr:to>
      <xdr:col>13</xdr:col>
      <xdr:colOff>851646</xdr:colOff>
      <xdr:row>14</xdr:row>
      <xdr:rowOff>5603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0962435" y="2439520"/>
          <a:ext cx="1685924" cy="604558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More</a:t>
          </a:r>
          <a:r>
            <a:rPr lang="en-US" sz="1200" b="1" baseline="0"/>
            <a:t> Loan Information</a:t>
          </a:r>
          <a:endParaRPr lang="en-US" sz="1200" b="1"/>
        </a:p>
      </xdr:txBody>
    </xdr:sp>
    <xdr:clientData/>
  </xdr:twoCellAnchor>
  <xdr:twoCellAnchor>
    <xdr:from>
      <xdr:col>12</xdr:col>
      <xdr:colOff>280147</xdr:colOff>
      <xdr:row>15</xdr:row>
      <xdr:rowOff>104775</xdr:rowOff>
    </xdr:from>
    <xdr:to>
      <xdr:col>13</xdr:col>
      <xdr:colOff>851646</xdr:colOff>
      <xdr:row>18</xdr:row>
      <xdr:rowOff>166407</xdr:rowOff>
    </xdr:to>
    <xdr:sp macro="[0]!Print_Revie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962435" y="3324225"/>
          <a:ext cx="1685924" cy="604557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Print Preview</a:t>
          </a:r>
          <a:r>
            <a:rPr lang="en-US" sz="1200" b="1" baseline="0"/>
            <a:t> // Print</a:t>
          </a:r>
          <a:endParaRPr lang="en-US" sz="1200" b="1"/>
        </a:p>
      </xdr:txBody>
    </xdr:sp>
    <xdr:clientData/>
  </xdr:twoCellAnchor>
  <xdr:twoCellAnchor>
    <xdr:from>
      <xdr:col>12</xdr:col>
      <xdr:colOff>280147</xdr:colOff>
      <xdr:row>20</xdr:row>
      <xdr:rowOff>86285</xdr:rowOff>
    </xdr:from>
    <xdr:to>
      <xdr:col>13</xdr:col>
      <xdr:colOff>851646</xdr:colOff>
      <xdr:row>23</xdr:row>
      <xdr:rowOff>131108</xdr:rowOff>
    </xdr:to>
    <xdr:sp macro="[0]!SaveWorkshee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962435" y="4210610"/>
          <a:ext cx="1685924" cy="602036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Save and</a:t>
          </a:r>
          <a:r>
            <a:rPr lang="en-US" sz="1200" b="1" baseline="0"/>
            <a:t> Exit</a:t>
          </a:r>
          <a:endParaRPr lang="en-US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0</xdr:rowOff>
        </xdr:from>
        <xdr:to>
          <xdr:col>3</xdr:col>
          <xdr:colOff>1228725</xdr:colOff>
          <xdr:row>9</xdr:row>
          <xdr:rowOff>180975</xdr:rowOff>
        </xdr:to>
        <xdr:sp macro="" textlink="">
          <xdr:nvSpPr>
            <xdr:cNvPr id="2050" name="Group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Down Payment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</xdr:row>
          <xdr:rowOff>180975</xdr:rowOff>
        </xdr:from>
        <xdr:to>
          <xdr:col>3</xdr:col>
          <xdr:colOff>1228725</xdr:colOff>
          <xdr:row>15</xdr:row>
          <xdr:rowOff>180975</xdr:rowOff>
        </xdr:to>
        <xdr:sp macro="" textlink="">
          <xdr:nvSpPr>
            <xdr:cNvPr id="2051" name="Group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8</xdr:row>
          <xdr:rowOff>66675</xdr:rowOff>
        </xdr:from>
        <xdr:to>
          <xdr:col>1</xdr:col>
          <xdr:colOff>609600</xdr:colOff>
          <xdr:row>9</xdr:row>
          <xdr:rowOff>142875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8</xdr:row>
          <xdr:rowOff>66675</xdr:rowOff>
        </xdr:from>
        <xdr:to>
          <xdr:col>1</xdr:col>
          <xdr:colOff>1314450</xdr:colOff>
          <xdr:row>9</xdr:row>
          <xdr:rowOff>142875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8</xdr:row>
          <xdr:rowOff>76200</xdr:rowOff>
        </xdr:from>
        <xdr:to>
          <xdr:col>1</xdr:col>
          <xdr:colOff>1971675</xdr:colOff>
          <xdr:row>9</xdr:row>
          <xdr:rowOff>133350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8</xdr:row>
          <xdr:rowOff>76200</xdr:rowOff>
        </xdr:from>
        <xdr:to>
          <xdr:col>2</xdr:col>
          <xdr:colOff>514350</xdr:colOff>
          <xdr:row>9</xdr:row>
          <xdr:rowOff>133350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8</xdr:row>
          <xdr:rowOff>85725</xdr:rowOff>
        </xdr:from>
        <xdr:to>
          <xdr:col>3</xdr:col>
          <xdr:colOff>552450</xdr:colOff>
          <xdr:row>9</xdr:row>
          <xdr:rowOff>114300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8</xdr:row>
          <xdr:rowOff>85725</xdr:rowOff>
        </xdr:from>
        <xdr:to>
          <xdr:col>3</xdr:col>
          <xdr:colOff>1190625</xdr:colOff>
          <xdr:row>9</xdr:row>
          <xdr:rowOff>114300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13</xdr:row>
          <xdr:rowOff>95250</xdr:rowOff>
        </xdr:from>
        <xdr:to>
          <xdr:col>1</xdr:col>
          <xdr:colOff>1085850</xdr:colOff>
          <xdr:row>14</xdr:row>
          <xdr:rowOff>85725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13</xdr:row>
          <xdr:rowOff>85725</xdr:rowOff>
        </xdr:from>
        <xdr:to>
          <xdr:col>2</xdr:col>
          <xdr:colOff>28575</xdr:colOff>
          <xdr:row>14</xdr:row>
          <xdr:rowOff>76200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13</xdr:row>
          <xdr:rowOff>85725</xdr:rowOff>
        </xdr:from>
        <xdr:to>
          <xdr:col>3</xdr:col>
          <xdr:colOff>819150</xdr:colOff>
          <xdr:row>14</xdr:row>
          <xdr:rowOff>76200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14</xdr:row>
          <xdr:rowOff>95250</xdr:rowOff>
        </xdr:from>
        <xdr:to>
          <xdr:col>3</xdr:col>
          <xdr:colOff>819150</xdr:colOff>
          <xdr:row>15</xdr:row>
          <xdr:rowOff>85725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14</xdr:row>
          <xdr:rowOff>85725</xdr:rowOff>
        </xdr:from>
        <xdr:to>
          <xdr:col>1</xdr:col>
          <xdr:colOff>1085850</xdr:colOff>
          <xdr:row>15</xdr:row>
          <xdr:rowOff>76200</xdr:rowOff>
        </xdr:to>
        <xdr:sp macro="" textlink="">
          <xdr:nvSpPr>
            <xdr:cNvPr id="2062" name="Option 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14</xdr:row>
          <xdr:rowOff>104775</xdr:rowOff>
        </xdr:from>
        <xdr:to>
          <xdr:col>2</xdr:col>
          <xdr:colOff>28575</xdr:colOff>
          <xdr:row>15</xdr:row>
          <xdr:rowOff>95250</xdr:rowOff>
        </xdr:to>
        <xdr:sp macro="" textlink="">
          <xdr:nvSpPr>
            <xdr:cNvPr id="2063" name="Option 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 years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0</xdr:rowOff>
        </xdr:from>
        <xdr:to>
          <xdr:col>3</xdr:col>
          <xdr:colOff>1228725</xdr:colOff>
          <xdr:row>9</xdr:row>
          <xdr:rowOff>180975</xdr:rowOff>
        </xdr:to>
        <xdr:sp macro="" textlink="">
          <xdr:nvSpPr>
            <xdr:cNvPr id="3073" name="Group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Down Payment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</xdr:row>
          <xdr:rowOff>180975</xdr:rowOff>
        </xdr:from>
        <xdr:to>
          <xdr:col>3</xdr:col>
          <xdr:colOff>1228725</xdr:colOff>
          <xdr:row>15</xdr:row>
          <xdr:rowOff>180975</xdr:rowOff>
        </xdr:to>
        <xdr:sp macro="" textlink="">
          <xdr:nvSpPr>
            <xdr:cNvPr id="3074" name="Group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8</xdr:row>
          <xdr:rowOff>66675</xdr:rowOff>
        </xdr:from>
        <xdr:to>
          <xdr:col>1</xdr:col>
          <xdr:colOff>609600</xdr:colOff>
          <xdr:row>9</xdr:row>
          <xdr:rowOff>142875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8</xdr:row>
          <xdr:rowOff>66675</xdr:rowOff>
        </xdr:from>
        <xdr:to>
          <xdr:col>1</xdr:col>
          <xdr:colOff>1314450</xdr:colOff>
          <xdr:row>9</xdr:row>
          <xdr:rowOff>142875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8</xdr:row>
          <xdr:rowOff>76200</xdr:rowOff>
        </xdr:from>
        <xdr:to>
          <xdr:col>1</xdr:col>
          <xdr:colOff>1971675</xdr:colOff>
          <xdr:row>9</xdr:row>
          <xdr:rowOff>133350</xdr:rowOff>
        </xdr:to>
        <xdr:sp macro="" textlink="">
          <xdr:nvSpPr>
            <xdr:cNvPr id="3077" name="Option 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8</xdr:row>
          <xdr:rowOff>76200</xdr:rowOff>
        </xdr:from>
        <xdr:to>
          <xdr:col>2</xdr:col>
          <xdr:colOff>514350</xdr:colOff>
          <xdr:row>9</xdr:row>
          <xdr:rowOff>133350</xdr:rowOff>
        </xdr:to>
        <xdr:sp macro="" textlink="">
          <xdr:nvSpPr>
            <xdr:cNvPr id="3078" name="Option 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8</xdr:row>
          <xdr:rowOff>85725</xdr:rowOff>
        </xdr:from>
        <xdr:to>
          <xdr:col>3</xdr:col>
          <xdr:colOff>552450</xdr:colOff>
          <xdr:row>9</xdr:row>
          <xdr:rowOff>114300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8</xdr:row>
          <xdr:rowOff>85725</xdr:rowOff>
        </xdr:from>
        <xdr:to>
          <xdr:col>3</xdr:col>
          <xdr:colOff>1190625</xdr:colOff>
          <xdr:row>9</xdr:row>
          <xdr:rowOff>114300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13</xdr:row>
          <xdr:rowOff>95250</xdr:rowOff>
        </xdr:from>
        <xdr:to>
          <xdr:col>1</xdr:col>
          <xdr:colOff>1085850</xdr:colOff>
          <xdr:row>14</xdr:row>
          <xdr:rowOff>85725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13</xdr:row>
          <xdr:rowOff>85725</xdr:rowOff>
        </xdr:from>
        <xdr:to>
          <xdr:col>2</xdr:col>
          <xdr:colOff>28575</xdr:colOff>
          <xdr:row>14</xdr:row>
          <xdr:rowOff>76200</xdr:rowOff>
        </xdr:to>
        <xdr:sp macro="" textlink="">
          <xdr:nvSpPr>
            <xdr:cNvPr id="3082" name="Option 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3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13</xdr:row>
          <xdr:rowOff>85725</xdr:rowOff>
        </xdr:from>
        <xdr:to>
          <xdr:col>3</xdr:col>
          <xdr:colOff>819150</xdr:colOff>
          <xdr:row>14</xdr:row>
          <xdr:rowOff>76200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3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14</xdr:row>
          <xdr:rowOff>95250</xdr:rowOff>
        </xdr:from>
        <xdr:to>
          <xdr:col>3</xdr:col>
          <xdr:colOff>819150</xdr:colOff>
          <xdr:row>15</xdr:row>
          <xdr:rowOff>85725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3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14</xdr:row>
          <xdr:rowOff>85725</xdr:rowOff>
        </xdr:from>
        <xdr:to>
          <xdr:col>1</xdr:col>
          <xdr:colOff>1085850</xdr:colOff>
          <xdr:row>15</xdr:row>
          <xdr:rowOff>76200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14</xdr:row>
          <xdr:rowOff>104775</xdr:rowOff>
        </xdr:from>
        <xdr:to>
          <xdr:col>2</xdr:col>
          <xdr:colOff>28575</xdr:colOff>
          <xdr:row>15</xdr:row>
          <xdr:rowOff>95250</xdr:rowOff>
        </xdr:to>
        <xdr:sp macro="" textlink="">
          <xdr:nvSpPr>
            <xdr:cNvPr id="3086" name="Option 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3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3</xdr:col>
          <xdr:colOff>1428750</xdr:colOff>
          <xdr:row>18</xdr:row>
          <xdr:rowOff>0</xdr:rowOff>
        </xdr:to>
        <xdr:sp macro="" textlink="">
          <xdr:nvSpPr>
            <xdr:cNvPr id="3087" name="Drop Dow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0</xdr:rowOff>
        </xdr:from>
        <xdr:to>
          <xdr:col>3</xdr:col>
          <xdr:colOff>1228725</xdr:colOff>
          <xdr:row>9</xdr:row>
          <xdr:rowOff>180975</xdr:rowOff>
        </xdr:to>
        <xdr:sp macro="" textlink="">
          <xdr:nvSpPr>
            <xdr:cNvPr id="5121" name="Group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Down Payment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</xdr:row>
          <xdr:rowOff>180975</xdr:rowOff>
        </xdr:from>
        <xdr:to>
          <xdr:col>3</xdr:col>
          <xdr:colOff>1228725</xdr:colOff>
          <xdr:row>15</xdr:row>
          <xdr:rowOff>180975</xdr:rowOff>
        </xdr:to>
        <xdr:sp macro="" textlink="">
          <xdr:nvSpPr>
            <xdr:cNvPr id="5122" name="Group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8</xdr:row>
          <xdr:rowOff>66675</xdr:rowOff>
        </xdr:from>
        <xdr:to>
          <xdr:col>1</xdr:col>
          <xdr:colOff>609600</xdr:colOff>
          <xdr:row>9</xdr:row>
          <xdr:rowOff>142875</xdr:rowOff>
        </xdr:to>
        <xdr:sp macro="" textlink="">
          <xdr:nvSpPr>
            <xdr:cNvPr id="5123" name="Option 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8</xdr:row>
          <xdr:rowOff>66675</xdr:rowOff>
        </xdr:from>
        <xdr:to>
          <xdr:col>1</xdr:col>
          <xdr:colOff>1314450</xdr:colOff>
          <xdr:row>9</xdr:row>
          <xdr:rowOff>142875</xdr:rowOff>
        </xdr:to>
        <xdr:sp macro="" textlink="">
          <xdr:nvSpPr>
            <xdr:cNvPr id="5124" name="Option 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8</xdr:row>
          <xdr:rowOff>76200</xdr:rowOff>
        </xdr:from>
        <xdr:to>
          <xdr:col>1</xdr:col>
          <xdr:colOff>1971675</xdr:colOff>
          <xdr:row>9</xdr:row>
          <xdr:rowOff>133350</xdr:rowOff>
        </xdr:to>
        <xdr:sp macro="" textlink="">
          <xdr:nvSpPr>
            <xdr:cNvPr id="5125" name="Option 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8</xdr:row>
          <xdr:rowOff>76200</xdr:rowOff>
        </xdr:from>
        <xdr:to>
          <xdr:col>2</xdr:col>
          <xdr:colOff>514350</xdr:colOff>
          <xdr:row>9</xdr:row>
          <xdr:rowOff>133350</xdr:rowOff>
        </xdr:to>
        <xdr:sp macro="" textlink="">
          <xdr:nvSpPr>
            <xdr:cNvPr id="5126" name="Option 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8</xdr:row>
          <xdr:rowOff>85725</xdr:rowOff>
        </xdr:from>
        <xdr:to>
          <xdr:col>3</xdr:col>
          <xdr:colOff>552450</xdr:colOff>
          <xdr:row>9</xdr:row>
          <xdr:rowOff>114300</xdr:rowOff>
        </xdr:to>
        <xdr:sp macro="" textlink="">
          <xdr:nvSpPr>
            <xdr:cNvPr id="5127" name="Option 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8</xdr:row>
          <xdr:rowOff>85725</xdr:rowOff>
        </xdr:from>
        <xdr:to>
          <xdr:col>3</xdr:col>
          <xdr:colOff>1190625</xdr:colOff>
          <xdr:row>9</xdr:row>
          <xdr:rowOff>114300</xdr:rowOff>
        </xdr:to>
        <xdr:sp macro="" textlink="">
          <xdr:nvSpPr>
            <xdr:cNvPr id="5128" name="Option 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13</xdr:row>
          <xdr:rowOff>95250</xdr:rowOff>
        </xdr:from>
        <xdr:to>
          <xdr:col>1</xdr:col>
          <xdr:colOff>1085850</xdr:colOff>
          <xdr:row>14</xdr:row>
          <xdr:rowOff>85725</xdr:rowOff>
        </xdr:to>
        <xdr:sp macro="" textlink="">
          <xdr:nvSpPr>
            <xdr:cNvPr id="5129" name="Option 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13</xdr:row>
          <xdr:rowOff>85725</xdr:rowOff>
        </xdr:from>
        <xdr:to>
          <xdr:col>2</xdr:col>
          <xdr:colOff>28575</xdr:colOff>
          <xdr:row>14</xdr:row>
          <xdr:rowOff>76200</xdr:rowOff>
        </xdr:to>
        <xdr:sp macro="" textlink="">
          <xdr:nvSpPr>
            <xdr:cNvPr id="5130" name="Option 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13</xdr:row>
          <xdr:rowOff>85725</xdr:rowOff>
        </xdr:from>
        <xdr:to>
          <xdr:col>3</xdr:col>
          <xdr:colOff>819150</xdr:colOff>
          <xdr:row>14</xdr:row>
          <xdr:rowOff>76200</xdr:rowOff>
        </xdr:to>
        <xdr:sp macro="" textlink="">
          <xdr:nvSpPr>
            <xdr:cNvPr id="5131" name="Option 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14</xdr:row>
          <xdr:rowOff>104775</xdr:rowOff>
        </xdr:from>
        <xdr:to>
          <xdr:col>1</xdr:col>
          <xdr:colOff>1085850</xdr:colOff>
          <xdr:row>15</xdr:row>
          <xdr:rowOff>95250</xdr:rowOff>
        </xdr:to>
        <xdr:sp macro="" textlink="">
          <xdr:nvSpPr>
            <xdr:cNvPr id="5132" name="Option 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14</xdr:row>
          <xdr:rowOff>104775</xdr:rowOff>
        </xdr:from>
        <xdr:to>
          <xdr:col>2</xdr:col>
          <xdr:colOff>28575</xdr:colOff>
          <xdr:row>15</xdr:row>
          <xdr:rowOff>95250</xdr:rowOff>
        </xdr:to>
        <xdr:sp macro="" textlink="">
          <xdr:nvSpPr>
            <xdr:cNvPr id="5133" name="Option 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14</xdr:row>
          <xdr:rowOff>104775</xdr:rowOff>
        </xdr:from>
        <xdr:to>
          <xdr:col>3</xdr:col>
          <xdr:colOff>819150</xdr:colOff>
          <xdr:row>15</xdr:row>
          <xdr:rowOff>95250</xdr:rowOff>
        </xdr:to>
        <xdr:sp macro="" textlink="">
          <xdr:nvSpPr>
            <xdr:cNvPr id="5134" name="Option 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3</xdr:col>
          <xdr:colOff>1428750</xdr:colOff>
          <xdr:row>18</xdr:row>
          <xdr:rowOff>0</xdr:rowOff>
        </xdr:to>
        <xdr:sp macro="" textlink="">
          <xdr:nvSpPr>
            <xdr:cNvPr id="5135" name="Drop Dow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0</xdr:rowOff>
        </xdr:from>
        <xdr:to>
          <xdr:col>3</xdr:col>
          <xdr:colOff>1228725</xdr:colOff>
          <xdr:row>9</xdr:row>
          <xdr:rowOff>180975</xdr:rowOff>
        </xdr:to>
        <xdr:sp macro="" textlink="">
          <xdr:nvSpPr>
            <xdr:cNvPr id="6145" name="Group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Down Payment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</xdr:row>
          <xdr:rowOff>180975</xdr:rowOff>
        </xdr:from>
        <xdr:to>
          <xdr:col>3</xdr:col>
          <xdr:colOff>1228725</xdr:colOff>
          <xdr:row>15</xdr:row>
          <xdr:rowOff>180975</xdr:rowOff>
        </xdr:to>
        <xdr:sp macro="" textlink="">
          <xdr:nvSpPr>
            <xdr:cNvPr id="6146" name="Group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8</xdr:row>
          <xdr:rowOff>66675</xdr:rowOff>
        </xdr:from>
        <xdr:to>
          <xdr:col>1</xdr:col>
          <xdr:colOff>609600</xdr:colOff>
          <xdr:row>9</xdr:row>
          <xdr:rowOff>142875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8</xdr:row>
          <xdr:rowOff>66675</xdr:rowOff>
        </xdr:from>
        <xdr:to>
          <xdr:col>1</xdr:col>
          <xdr:colOff>1314450</xdr:colOff>
          <xdr:row>9</xdr:row>
          <xdr:rowOff>142875</xdr:rowOff>
        </xdr:to>
        <xdr:sp macro="" textlink="">
          <xdr:nvSpPr>
            <xdr:cNvPr id="6148" name="Option 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8</xdr:row>
          <xdr:rowOff>76200</xdr:rowOff>
        </xdr:from>
        <xdr:to>
          <xdr:col>1</xdr:col>
          <xdr:colOff>1971675</xdr:colOff>
          <xdr:row>9</xdr:row>
          <xdr:rowOff>133350</xdr:rowOff>
        </xdr:to>
        <xdr:sp macro="" textlink="">
          <xdr:nvSpPr>
            <xdr:cNvPr id="6149" name="Option 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8</xdr:row>
          <xdr:rowOff>76200</xdr:rowOff>
        </xdr:from>
        <xdr:to>
          <xdr:col>2</xdr:col>
          <xdr:colOff>514350</xdr:colOff>
          <xdr:row>9</xdr:row>
          <xdr:rowOff>133350</xdr:rowOff>
        </xdr:to>
        <xdr:sp macro="" textlink="">
          <xdr:nvSpPr>
            <xdr:cNvPr id="6150" name="Option 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8</xdr:row>
          <xdr:rowOff>85725</xdr:rowOff>
        </xdr:from>
        <xdr:to>
          <xdr:col>3</xdr:col>
          <xdr:colOff>552450</xdr:colOff>
          <xdr:row>9</xdr:row>
          <xdr:rowOff>114300</xdr:rowOff>
        </xdr:to>
        <xdr:sp macro="" textlink="">
          <xdr:nvSpPr>
            <xdr:cNvPr id="6151" name="Option 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8</xdr:row>
          <xdr:rowOff>85725</xdr:rowOff>
        </xdr:from>
        <xdr:to>
          <xdr:col>3</xdr:col>
          <xdr:colOff>1190625</xdr:colOff>
          <xdr:row>9</xdr:row>
          <xdr:rowOff>114300</xdr:rowOff>
        </xdr:to>
        <xdr:sp macro="" textlink="">
          <xdr:nvSpPr>
            <xdr:cNvPr id="6152" name="Option 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13</xdr:row>
          <xdr:rowOff>95250</xdr:rowOff>
        </xdr:from>
        <xdr:to>
          <xdr:col>1</xdr:col>
          <xdr:colOff>1085850</xdr:colOff>
          <xdr:row>14</xdr:row>
          <xdr:rowOff>85725</xdr:rowOff>
        </xdr:to>
        <xdr:sp macro="" textlink="">
          <xdr:nvSpPr>
            <xdr:cNvPr id="6153" name="Option 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5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13</xdr:row>
          <xdr:rowOff>85725</xdr:rowOff>
        </xdr:from>
        <xdr:to>
          <xdr:col>2</xdr:col>
          <xdr:colOff>28575</xdr:colOff>
          <xdr:row>14</xdr:row>
          <xdr:rowOff>76200</xdr:rowOff>
        </xdr:to>
        <xdr:sp macro="" textlink="">
          <xdr:nvSpPr>
            <xdr:cNvPr id="6154" name="Option 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13</xdr:row>
          <xdr:rowOff>85725</xdr:rowOff>
        </xdr:from>
        <xdr:to>
          <xdr:col>3</xdr:col>
          <xdr:colOff>819150</xdr:colOff>
          <xdr:row>14</xdr:row>
          <xdr:rowOff>76200</xdr:rowOff>
        </xdr:to>
        <xdr:sp macro="" textlink="">
          <xdr:nvSpPr>
            <xdr:cNvPr id="6155" name="Option 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5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14</xdr:row>
          <xdr:rowOff>104775</xdr:rowOff>
        </xdr:from>
        <xdr:to>
          <xdr:col>1</xdr:col>
          <xdr:colOff>1085850</xdr:colOff>
          <xdr:row>15</xdr:row>
          <xdr:rowOff>95250</xdr:rowOff>
        </xdr:to>
        <xdr:sp macro="" textlink="">
          <xdr:nvSpPr>
            <xdr:cNvPr id="6156" name="Option 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5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14</xdr:row>
          <xdr:rowOff>104775</xdr:rowOff>
        </xdr:from>
        <xdr:to>
          <xdr:col>2</xdr:col>
          <xdr:colOff>28575</xdr:colOff>
          <xdr:row>15</xdr:row>
          <xdr:rowOff>95250</xdr:rowOff>
        </xdr:to>
        <xdr:sp macro="" textlink="">
          <xdr:nvSpPr>
            <xdr:cNvPr id="6157" name="Option 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5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14</xdr:row>
          <xdr:rowOff>104775</xdr:rowOff>
        </xdr:from>
        <xdr:to>
          <xdr:col>3</xdr:col>
          <xdr:colOff>819150</xdr:colOff>
          <xdr:row>15</xdr:row>
          <xdr:rowOff>95250</xdr:rowOff>
        </xdr:to>
        <xdr:sp macro="" textlink="">
          <xdr:nvSpPr>
            <xdr:cNvPr id="6158" name="Option 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5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3</xdr:col>
          <xdr:colOff>1428750</xdr:colOff>
          <xdr:row>18</xdr:row>
          <xdr:rowOff>9525</xdr:rowOff>
        </xdr:to>
        <xdr:sp macro="" textlink="">
          <xdr:nvSpPr>
            <xdr:cNvPr id="6159" name="Drop Dow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5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0</xdr:rowOff>
        </xdr:from>
        <xdr:to>
          <xdr:col>3</xdr:col>
          <xdr:colOff>1228725</xdr:colOff>
          <xdr:row>9</xdr:row>
          <xdr:rowOff>180975</xdr:rowOff>
        </xdr:to>
        <xdr:sp macro="" textlink="">
          <xdr:nvSpPr>
            <xdr:cNvPr id="7169" name="Group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Down Payment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</xdr:row>
          <xdr:rowOff>180975</xdr:rowOff>
        </xdr:from>
        <xdr:to>
          <xdr:col>3</xdr:col>
          <xdr:colOff>1228725</xdr:colOff>
          <xdr:row>15</xdr:row>
          <xdr:rowOff>180975</xdr:rowOff>
        </xdr:to>
        <xdr:sp macro="" textlink="">
          <xdr:nvSpPr>
            <xdr:cNvPr id="7170" name="Group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8</xdr:row>
          <xdr:rowOff>66675</xdr:rowOff>
        </xdr:from>
        <xdr:to>
          <xdr:col>1</xdr:col>
          <xdr:colOff>609600</xdr:colOff>
          <xdr:row>9</xdr:row>
          <xdr:rowOff>142875</xdr:rowOff>
        </xdr:to>
        <xdr:sp macro="" textlink="">
          <xdr:nvSpPr>
            <xdr:cNvPr id="7171" name="Option 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8</xdr:row>
          <xdr:rowOff>66675</xdr:rowOff>
        </xdr:from>
        <xdr:to>
          <xdr:col>1</xdr:col>
          <xdr:colOff>1314450</xdr:colOff>
          <xdr:row>9</xdr:row>
          <xdr:rowOff>142875</xdr:rowOff>
        </xdr:to>
        <xdr:sp macro="" textlink="">
          <xdr:nvSpPr>
            <xdr:cNvPr id="7172" name="Option 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8</xdr:row>
          <xdr:rowOff>76200</xdr:rowOff>
        </xdr:from>
        <xdr:to>
          <xdr:col>1</xdr:col>
          <xdr:colOff>1971675</xdr:colOff>
          <xdr:row>9</xdr:row>
          <xdr:rowOff>133350</xdr:rowOff>
        </xdr:to>
        <xdr:sp macro="" textlink="">
          <xdr:nvSpPr>
            <xdr:cNvPr id="7173" name="Option 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8</xdr:row>
          <xdr:rowOff>76200</xdr:rowOff>
        </xdr:from>
        <xdr:to>
          <xdr:col>2</xdr:col>
          <xdr:colOff>514350</xdr:colOff>
          <xdr:row>9</xdr:row>
          <xdr:rowOff>133350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8</xdr:row>
          <xdr:rowOff>85725</xdr:rowOff>
        </xdr:from>
        <xdr:to>
          <xdr:col>3</xdr:col>
          <xdr:colOff>552450</xdr:colOff>
          <xdr:row>9</xdr:row>
          <xdr:rowOff>114300</xdr:rowOff>
        </xdr:to>
        <xdr:sp macro="" textlink="">
          <xdr:nvSpPr>
            <xdr:cNvPr id="7175" name="Option 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6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8</xdr:row>
          <xdr:rowOff>85725</xdr:rowOff>
        </xdr:from>
        <xdr:to>
          <xdr:col>3</xdr:col>
          <xdr:colOff>1190625</xdr:colOff>
          <xdr:row>9</xdr:row>
          <xdr:rowOff>114300</xdr:rowOff>
        </xdr:to>
        <xdr:sp macro="" textlink="">
          <xdr:nvSpPr>
            <xdr:cNvPr id="7176" name="Option 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6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13</xdr:row>
          <xdr:rowOff>95250</xdr:rowOff>
        </xdr:from>
        <xdr:to>
          <xdr:col>1</xdr:col>
          <xdr:colOff>1085850</xdr:colOff>
          <xdr:row>14</xdr:row>
          <xdr:rowOff>85725</xdr:rowOff>
        </xdr:to>
        <xdr:sp macro="" textlink="">
          <xdr:nvSpPr>
            <xdr:cNvPr id="7177" name="Option 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6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13</xdr:row>
          <xdr:rowOff>85725</xdr:rowOff>
        </xdr:from>
        <xdr:to>
          <xdr:col>2</xdr:col>
          <xdr:colOff>28575</xdr:colOff>
          <xdr:row>14</xdr:row>
          <xdr:rowOff>76200</xdr:rowOff>
        </xdr:to>
        <xdr:sp macro="" textlink="">
          <xdr:nvSpPr>
            <xdr:cNvPr id="7178" name="Option 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6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13</xdr:row>
          <xdr:rowOff>85725</xdr:rowOff>
        </xdr:from>
        <xdr:to>
          <xdr:col>3</xdr:col>
          <xdr:colOff>819150</xdr:colOff>
          <xdr:row>14</xdr:row>
          <xdr:rowOff>76200</xdr:rowOff>
        </xdr:to>
        <xdr:sp macro="" textlink="">
          <xdr:nvSpPr>
            <xdr:cNvPr id="7179" name="Option 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6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14</xdr:row>
          <xdr:rowOff>104775</xdr:rowOff>
        </xdr:from>
        <xdr:to>
          <xdr:col>1</xdr:col>
          <xdr:colOff>1085850</xdr:colOff>
          <xdr:row>15</xdr:row>
          <xdr:rowOff>95250</xdr:rowOff>
        </xdr:to>
        <xdr:sp macro="" textlink="">
          <xdr:nvSpPr>
            <xdr:cNvPr id="7180" name="Option 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6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14</xdr:row>
          <xdr:rowOff>104775</xdr:rowOff>
        </xdr:from>
        <xdr:to>
          <xdr:col>2</xdr:col>
          <xdr:colOff>28575</xdr:colOff>
          <xdr:row>15</xdr:row>
          <xdr:rowOff>95250</xdr:rowOff>
        </xdr:to>
        <xdr:sp macro="" textlink="">
          <xdr:nvSpPr>
            <xdr:cNvPr id="7181" name="Option 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6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14</xdr:row>
          <xdr:rowOff>104775</xdr:rowOff>
        </xdr:from>
        <xdr:to>
          <xdr:col>3</xdr:col>
          <xdr:colOff>819150</xdr:colOff>
          <xdr:row>15</xdr:row>
          <xdr:rowOff>95250</xdr:rowOff>
        </xdr:to>
        <xdr:sp macro="" textlink="">
          <xdr:nvSpPr>
            <xdr:cNvPr id="7182" name="Option 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6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17</xdr:row>
          <xdr:rowOff>0</xdr:rowOff>
        </xdr:from>
        <xdr:to>
          <xdr:col>1</xdr:col>
          <xdr:colOff>2047875</xdr:colOff>
          <xdr:row>18</xdr:row>
          <xdr:rowOff>9525</xdr:rowOff>
        </xdr:to>
        <xdr:sp macro="" textlink="">
          <xdr:nvSpPr>
            <xdr:cNvPr id="7183" name="Drop Dow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6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16</xdr:row>
          <xdr:rowOff>171450</xdr:rowOff>
        </xdr:from>
        <xdr:to>
          <xdr:col>3</xdr:col>
          <xdr:colOff>1285875</xdr:colOff>
          <xdr:row>18</xdr:row>
          <xdr:rowOff>9525</xdr:rowOff>
        </xdr:to>
        <xdr:sp macro="" textlink="">
          <xdr:nvSpPr>
            <xdr:cNvPr id="7185" name="Check Box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6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Interest Only Loan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0</xdr:rowOff>
        </xdr:from>
        <xdr:to>
          <xdr:col>3</xdr:col>
          <xdr:colOff>1228725</xdr:colOff>
          <xdr:row>9</xdr:row>
          <xdr:rowOff>180975</xdr:rowOff>
        </xdr:to>
        <xdr:sp macro="" textlink="">
          <xdr:nvSpPr>
            <xdr:cNvPr id="8193" name="Group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Down Payment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</xdr:row>
          <xdr:rowOff>180975</xdr:rowOff>
        </xdr:from>
        <xdr:to>
          <xdr:col>3</xdr:col>
          <xdr:colOff>1228725</xdr:colOff>
          <xdr:row>15</xdr:row>
          <xdr:rowOff>180975</xdr:rowOff>
        </xdr:to>
        <xdr:sp macro="" textlink="">
          <xdr:nvSpPr>
            <xdr:cNvPr id="8194" name="Group Box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8</xdr:row>
          <xdr:rowOff>66675</xdr:rowOff>
        </xdr:from>
        <xdr:to>
          <xdr:col>1</xdr:col>
          <xdr:colOff>609600</xdr:colOff>
          <xdr:row>9</xdr:row>
          <xdr:rowOff>142875</xdr:rowOff>
        </xdr:to>
        <xdr:sp macro="" textlink="">
          <xdr:nvSpPr>
            <xdr:cNvPr id="8195" name="Option 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8</xdr:row>
          <xdr:rowOff>66675</xdr:rowOff>
        </xdr:from>
        <xdr:to>
          <xdr:col>1</xdr:col>
          <xdr:colOff>1314450</xdr:colOff>
          <xdr:row>9</xdr:row>
          <xdr:rowOff>142875</xdr:rowOff>
        </xdr:to>
        <xdr:sp macro="" textlink="">
          <xdr:nvSpPr>
            <xdr:cNvPr id="8196" name="Option 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8</xdr:row>
          <xdr:rowOff>76200</xdr:rowOff>
        </xdr:from>
        <xdr:to>
          <xdr:col>1</xdr:col>
          <xdr:colOff>1971675</xdr:colOff>
          <xdr:row>9</xdr:row>
          <xdr:rowOff>133350</xdr:rowOff>
        </xdr:to>
        <xdr:sp macro="" textlink="">
          <xdr:nvSpPr>
            <xdr:cNvPr id="8197" name="Option 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8</xdr:row>
          <xdr:rowOff>76200</xdr:rowOff>
        </xdr:from>
        <xdr:to>
          <xdr:col>2</xdr:col>
          <xdr:colOff>514350</xdr:colOff>
          <xdr:row>9</xdr:row>
          <xdr:rowOff>133350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8</xdr:row>
          <xdr:rowOff>85725</xdr:rowOff>
        </xdr:from>
        <xdr:to>
          <xdr:col>3</xdr:col>
          <xdr:colOff>552450</xdr:colOff>
          <xdr:row>9</xdr:row>
          <xdr:rowOff>114300</xdr:rowOff>
        </xdr:to>
        <xdr:sp macro="" textlink="">
          <xdr:nvSpPr>
            <xdr:cNvPr id="8199" name="Option 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8</xdr:row>
          <xdr:rowOff>85725</xdr:rowOff>
        </xdr:from>
        <xdr:to>
          <xdr:col>3</xdr:col>
          <xdr:colOff>1190625</xdr:colOff>
          <xdr:row>9</xdr:row>
          <xdr:rowOff>114300</xdr:rowOff>
        </xdr:to>
        <xdr:sp macro="" textlink="">
          <xdr:nvSpPr>
            <xdr:cNvPr id="8200" name="Option 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13</xdr:row>
          <xdr:rowOff>95250</xdr:rowOff>
        </xdr:from>
        <xdr:to>
          <xdr:col>1</xdr:col>
          <xdr:colOff>1085850</xdr:colOff>
          <xdr:row>14</xdr:row>
          <xdr:rowOff>85725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13</xdr:row>
          <xdr:rowOff>85725</xdr:rowOff>
        </xdr:from>
        <xdr:to>
          <xdr:col>2</xdr:col>
          <xdr:colOff>28575</xdr:colOff>
          <xdr:row>14</xdr:row>
          <xdr:rowOff>76200</xdr:rowOff>
        </xdr:to>
        <xdr:sp macro="" textlink="">
          <xdr:nvSpPr>
            <xdr:cNvPr id="8202" name="Option 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7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13</xdr:row>
          <xdr:rowOff>85725</xdr:rowOff>
        </xdr:from>
        <xdr:to>
          <xdr:col>3</xdr:col>
          <xdr:colOff>819150</xdr:colOff>
          <xdr:row>14</xdr:row>
          <xdr:rowOff>76200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7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14</xdr:row>
          <xdr:rowOff>104775</xdr:rowOff>
        </xdr:from>
        <xdr:to>
          <xdr:col>1</xdr:col>
          <xdr:colOff>1085850</xdr:colOff>
          <xdr:row>15</xdr:row>
          <xdr:rowOff>95250</xdr:rowOff>
        </xdr:to>
        <xdr:sp macro="" textlink="">
          <xdr:nvSpPr>
            <xdr:cNvPr id="8204" name="Option 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7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14</xdr:row>
          <xdr:rowOff>104775</xdr:rowOff>
        </xdr:from>
        <xdr:to>
          <xdr:col>2</xdr:col>
          <xdr:colOff>28575</xdr:colOff>
          <xdr:row>15</xdr:row>
          <xdr:rowOff>95250</xdr:rowOff>
        </xdr:to>
        <xdr:sp macro="" textlink="">
          <xdr:nvSpPr>
            <xdr:cNvPr id="8205" name="Option 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7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14</xdr:row>
          <xdr:rowOff>104775</xdr:rowOff>
        </xdr:from>
        <xdr:to>
          <xdr:col>3</xdr:col>
          <xdr:colOff>819150</xdr:colOff>
          <xdr:row>15</xdr:row>
          <xdr:rowOff>95250</xdr:rowOff>
        </xdr:to>
        <xdr:sp macro="" textlink="">
          <xdr:nvSpPr>
            <xdr:cNvPr id="8206" name="Option 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7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17</xdr:row>
          <xdr:rowOff>0</xdr:rowOff>
        </xdr:from>
        <xdr:to>
          <xdr:col>1</xdr:col>
          <xdr:colOff>2047875</xdr:colOff>
          <xdr:row>18</xdr:row>
          <xdr:rowOff>9525</xdr:rowOff>
        </xdr:to>
        <xdr:sp macro="" textlink="">
          <xdr:nvSpPr>
            <xdr:cNvPr id="8207" name="Drop Dow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7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16</xdr:row>
          <xdr:rowOff>171450</xdr:rowOff>
        </xdr:from>
        <xdr:to>
          <xdr:col>3</xdr:col>
          <xdr:colOff>1285875</xdr:colOff>
          <xdr:row>18</xdr:row>
          <xdr:rowOff>9525</xdr:rowOff>
        </xdr:to>
        <xdr:sp macro="" textlink="">
          <xdr:nvSpPr>
            <xdr:cNvPr id="8208" name="Check Box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7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Interest Only Loan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0</xdr:rowOff>
        </xdr:from>
        <xdr:to>
          <xdr:col>3</xdr:col>
          <xdr:colOff>1228725</xdr:colOff>
          <xdr:row>9</xdr:row>
          <xdr:rowOff>180975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Down Payment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</xdr:row>
          <xdr:rowOff>180975</xdr:rowOff>
        </xdr:from>
        <xdr:to>
          <xdr:col>3</xdr:col>
          <xdr:colOff>1228725</xdr:colOff>
          <xdr:row>15</xdr:row>
          <xdr:rowOff>180975</xdr:rowOff>
        </xdr:to>
        <xdr:sp macro="" textlink="">
          <xdr:nvSpPr>
            <xdr:cNvPr id="9218" name="Group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8</xdr:row>
          <xdr:rowOff>66675</xdr:rowOff>
        </xdr:from>
        <xdr:to>
          <xdr:col>1</xdr:col>
          <xdr:colOff>609600</xdr:colOff>
          <xdr:row>9</xdr:row>
          <xdr:rowOff>142875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8</xdr:row>
          <xdr:rowOff>66675</xdr:rowOff>
        </xdr:from>
        <xdr:to>
          <xdr:col>1</xdr:col>
          <xdr:colOff>1314450</xdr:colOff>
          <xdr:row>9</xdr:row>
          <xdr:rowOff>142875</xdr:rowOff>
        </xdr:to>
        <xdr:sp macro="" textlink="">
          <xdr:nvSpPr>
            <xdr:cNvPr id="9220" name="Option 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8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8</xdr:row>
          <xdr:rowOff>76200</xdr:rowOff>
        </xdr:from>
        <xdr:to>
          <xdr:col>1</xdr:col>
          <xdr:colOff>1971675</xdr:colOff>
          <xdr:row>9</xdr:row>
          <xdr:rowOff>133350</xdr:rowOff>
        </xdr:to>
        <xdr:sp macro="" textlink="">
          <xdr:nvSpPr>
            <xdr:cNvPr id="9221" name="Option 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8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8</xdr:row>
          <xdr:rowOff>76200</xdr:rowOff>
        </xdr:from>
        <xdr:to>
          <xdr:col>2</xdr:col>
          <xdr:colOff>514350</xdr:colOff>
          <xdr:row>9</xdr:row>
          <xdr:rowOff>133350</xdr:rowOff>
        </xdr:to>
        <xdr:sp macro="" textlink="">
          <xdr:nvSpPr>
            <xdr:cNvPr id="9222" name="Option 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8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8</xdr:row>
          <xdr:rowOff>85725</xdr:rowOff>
        </xdr:from>
        <xdr:to>
          <xdr:col>3</xdr:col>
          <xdr:colOff>552450</xdr:colOff>
          <xdr:row>9</xdr:row>
          <xdr:rowOff>114300</xdr:rowOff>
        </xdr:to>
        <xdr:sp macro="" textlink="">
          <xdr:nvSpPr>
            <xdr:cNvPr id="9223" name="Option 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8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8</xdr:row>
          <xdr:rowOff>85725</xdr:rowOff>
        </xdr:from>
        <xdr:to>
          <xdr:col>3</xdr:col>
          <xdr:colOff>1190625</xdr:colOff>
          <xdr:row>9</xdr:row>
          <xdr:rowOff>114300</xdr:rowOff>
        </xdr:to>
        <xdr:sp macro="" textlink="">
          <xdr:nvSpPr>
            <xdr:cNvPr id="9224" name="Option 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8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13</xdr:row>
          <xdr:rowOff>95250</xdr:rowOff>
        </xdr:from>
        <xdr:to>
          <xdr:col>1</xdr:col>
          <xdr:colOff>1085850</xdr:colOff>
          <xdr:row>14</xdr:row>
          <xdr:rowOff>85725</xdr:rowOff>
        </xdr:to>
        <xdr:sp macro="" textlink="">
          <xdr:nvSpPr>
            <xdr:cNvPr id="9225" name="Option 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8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13</xdr:row>
          <xdr:rowOff>85725</xdr:rowOff>
        </xdr:from>
        <xdr:to>
          <xdr:col>2</xdr:col>
          <xdr:colOff>28575</xdr:colOff>
          <xdr:row>14</xdr:row>
          <xdr:rowOff>76200</xdr:rowOff>
        </xdr:to>
        <xdr:sp macro="" textlink="">
          <xdr:nvSpPr>
            <xdr:cNvPr id="9226" name="Option 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8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13</xdr:row>
          <xdr:rowOff>85725</xdr:rowOff>
        </xdr:from>
        <xdr:to>
          <xdr:col>3</xdr:col>
          <xdr:colOff>819150</xdr:colOff>
          <xdr:row>14</xdr:row>
          <xdr:rowOff>76200</xdr:rowOff>
        </xdr:to>
        <xdr:sp macro="" textlink="">
          <xdr:nvSpPr>
            <xdr:cNvPr id="9227" name="Option 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8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14</xdr:row>
          <xdr:rowOff>104775</xdr:rowOff>
        </xdr:from>
        <xdr:to>
          <xdr:col>1</xdr:col>
          <xdr:colOff>1085850</xdr:colOff>
          <xdr:row>15</xdr:row>
          <xdr:rowOff>95250</xdr:rowOff>
        </xdr:to>
        <xdr:sp macro="" textlink=""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8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14</xdr:row>
          <xdr:rowOff>104775</xdr:rowOff>
        </xdr:from>
        <xdr:to>
          <xdr:col>2</xdr:col>
          <xdr:colOff>28575</xdr:colOff>
          <xdr:row>15</xdr:row>
          <xdr:rowOff>95250</xdr:rowOff>
        </xdr:to>
        <xdr:sp macro="" textlink="">
          <xdr:nvSpPr>
            <xdr:cNvPr id="9229" name="Option Button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8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14</xdr:row>
          <xdr:rowOff>104775</xdr:rowOff>
        </xdr:from>
        <xdr:to>
          <xdr:col>3</xdr:col>
          <xdr:colOff>819150</xdr:colOff>
          <xdr:row>15</xdr:row>
          <xdr:rowOff>95250</xdr:rowOff>
        </xdr:to>
        <xdr:sp macro="" textlink="">
          <xdr:nvSpPr>
            <xdr:cNvPr id="9230" name="Option 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8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17</xdr:row>
          <xdr:rowOff>0</xdr:rowOff>
        </xdr:from>
        <xdr:to>
          <xdr:col>1</xdr:col>
          <xdr:colOff>2047875</xdr:colOff>
          <xdr:row>18</xdr:row>
          <xdr:rowOff>9525</xdr:rowOff>
        </xdr:to>
        <xdr:sp macro="" textlink="">
          <xdr:nvSpPr>
            <xdr:cNvPr id="9231" name="Drop Dow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8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16</xdr:row>
          <xdr:rowOff>171450</xdr:rowOff>
        </xdr:from>
        <xdr:to>
          <xdr:col>3</xdr:col>
          <xdr:colOff>1285875</xdr:colOff>
          <xdr:row>18</xdr:row>
          <xdr:rowOff>9525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8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Interest Only Loan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0</xdr:rowOff>
        </xdr:from>
        <xdr:to>
          <xdr:col>3</xdr:col>
          <xdr:colOff>1228725</xdr:colOff>
          <xdr:row>10</xdr:row>
          <xdr:rowOff>0</xdr:rowOff>
        </xdr:to>
        <xdr:sp macro="" textlink="">
          <xdr:nvSpPr>
            <xdr:cNvPr id="10241" name="Group Box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Down Payment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</xdr:row>
          <xdr:rowOff>180975</xdr:rowOff>
        </xdr:from>
        <xdr:to>
          <xdr:col>3</xdr:col>
          <xdr:colOff>1228725</xdr:colOff>
          <xdr:row>16</xdr:row>
          <xdr:rowOff>0</xdr:rowOff>
        </xdr:to>
        <xdr:sp macro="" textlink="">
          <xdr:nvSpPr>
            <xdr:cNvPr id="10242" name="Group Box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8</xdr:row>
          <xdr:rowOff>66675</xdr:rowOff>
        </xdr:from>
        <xdr:to>
          <xdr:col>1</xdr:col>
          <xdr:colOff>609600</xdr:colOff>
          <xdr:row>9</xdr:row>
          <xdr:rowOff>142875</xdr:rowOff>
        </xdr:to>
        <xdr:sp macro="" textlink="">
          <xdr:nvSpPr>
            <xdr:cNvPr id="10243" name="Option 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9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8</xdr:row>
          <xdr:rowOff>66675</xdr:rowOff>
        </xdr:from>
        <xdr:to>
          <xdr:col>1</xdr:col>
          <xdr:colOff>1314450</xdr:colOff>
          <xdr:row>9</xdr:row>
          <xdr:rowOff>142875</xdr:rowOff>
        </xdr:to>
        <xdr:sp macro="" textlink="">
          <xdr:nvSpPr>
            <xdr:cNvPr id="10244" name="Option 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9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8</xdr:row>
          <xdr:rowOff>76200</xdr:rowOff>
        </xdr:from>
        <xdr:to>
          <xdr:col>1</xdr:col>
          <xdr:colOff>1971675</xdr:colOff>
          <xdr:row>9</xdr:row>
          <xdr:rowOff>133350</xdr:rowOff>
        </xdr:to>
        <xdr:sp macro="" textlink="">
          <xdr:nvSpPr>
            <xdr:cNvPr id="10245" name="Option 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9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8</xdr:row>
          <xdr:rowOff>76200</xdr:rowOff>
        </xdr:from>
        <xdr:to>
          <xdr:col>2</xdr:col>
          <xdr:colOff>514350</xdr:colOff>
          <xdr:row>9</xdr:row>
          <xdr:rowOff>133350</xdr:rowOff>
        </xdr:to>
        <xdr:sp macro="" textlink="">
          <xdr:nvSpPr>
            <xdr:cNvPr id="10246" name="Option 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9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8</xdr:row>
          <xdr:rowOff>85725</xdr:rowOff>
        </xdr:from>
        <xdr:to>
          <xdr:col>3</xdr:col>
          <xdr:colOff>552450</xdr:colOff>
          <xdr:row>9</xdr:row>
          <xdr:rowOff>114300</xdr:rowOff>
        </xdr:to>
        <xdr:sp macro="" textlink="">
          <xdr:nvSpPr>
            <xdr:cNvPr id="10247" name="Option 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9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8</xdr:row>
          <xdr:rowOff>85725</xdr:rowOff>
        </xdr:from>
        <xdr:to>
          <xdr:col>3</xdr:col>
          <xdr:colOff>1190625</xdr:colOff>
          <xdr:row>9</xdr:row>
          <xdr:rowOff>114300</xdr:rowOff>
        </xdr:to>
        <xdr:sp macro="" textlink="">
          <xdr:nvSpPr>
            <xdr:cNvPr id="10248" name="Option 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9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13</xdr:row>
          <xdr:rowOff>95250</xdr:rowOff>
        </xdr:from>
        <xdr:to>
          <xdr:col>1</xdr:col>
          <xdr:colOff>1085850</xdr:colOff>
          <xdr:row>14</xdr:row>
          <xdr:rowOff>85725</xdr:rowOff>
        </xdr:to>
        <xdr:sp macro="" textlink="">
          <xdr:nvSpPr>
            <xdr:cNvPr id="10249" name="Option 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9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13</xdr:row>
          <xdr:rowOff>85725</xdr:rowOff>
        </xdr:from>
        <xdr:to>
          <xdr:col>2</xdr:col>
          <xdr:colOff>28575</xdr:colOff>
          <xdr:row>14</xdr:row>
          <xdr:rowOff>76200</xdr:rowOff>
        </xdr:to>
        <xdr:sp macro="" textlink="">
          <xdr:nvSpPr>
            <xdr:cNvPr id="10250" name="Option 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9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13</xdr:row>
          <xdr:rowOff>85725</xdr:rowOff>
        </xdr:from>
        <xdr:to>
          <xdr:col>3</xdr:col>
          <xdr:colOff>819150</xdr:colOff>
          <xdr:row>14</xdr:row>
          <xdr:rowOff>76200</xdr:rowOff>
        </xdr:to>
        <xdr:sp macro="" textlink="">
          <xdr:nvSpPr>
            <xdr:cNvPr id="10251" name="Option 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9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14</xdr:row>
          <xdr:rowOff>104775</xdr:rowOff>
        </xdr:from>
        <xdr:to>
          <xdr:col>1</xdr:col>
          <xdr:colOff>1085850</xdr:colOff>
          <xdr:row>15</xdr:row>
          <xdr:rowOff>95250</xdr:rowOff>
        </xdr:to>
        <xdr:sp macro="" textlink="">
          <xdr:nvSpPr>
            <xdr:cNvPr id="10252" name="Option 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9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14</xdr:row>
          <xdr:rowOff>104775</xdr:rowOff>
        </xdr:from>
        <xdr:to>
          <xdr:col>2</xdr:col>
          <xdr:colOff>28575</xdr:colOff>
          <xdr:row>15</xdr:row>
          <xdr:rowOff>95250</xdr:rowOff>
        </xdr:to>
        <xdr:sp macro="" textlink="">
          <xdr:nvSpPr>
            <xdr:cNvPr id="10253" name="Option 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9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14</xdr:row>
          <xdr:rowOff>104775</xdr:rowOff>
        </xdr:from>
        <xdr:to>
          <xdr:col>3</xdr:col>
          <xdr:colOff>819150</xdr:colOff>
          <xdr:row>15</xdr:row>
          <xdr:rowOff>95250</xdr:rowOff>
        </xdr:to>
        <xdr:sp macro="" textlink="">
          <xdr:nvSpPr>
            <xdr:cNvPr id="10254" name="Option 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9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17</xdr:row>
          <xdr:rowOff>0</xdr:rowOff>
        </xdr:from>
        <xdr:to>
          <xdr:col>1</xdr:col>
          <xdr:colOff>2047875</xdr:colOff>
          <xdr:row>18</xdr:row>
          <xdr:rowOff>9525</xdr:rowOff>
        </xdr:to>
        <xdr:sp macro="" textlink="">
          <xdr:nvSpPr>
            <xdr:cNvPr id="10255" name="Drop Down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9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16</xdr:row>
          <xdr:rowOff>171450</xdr:rowOff>
        </xdr:from>
        <xdr:to>
          <xdr:col>3</xdr:col>
          <xdr:colOff>1285875</xdr:colOff>
          <xdr:row>18</xdr:row>
          <xdr:rowOff>9525</xdr:rowOff>
        </xdr:to>
        <xdr:sp macro="" textlink="">
          <xdr:nvSpPr>
            <xdr:cNvPr id="10256" name="Check Box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9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Interest Only Loan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2380</xdr:colOff>
      <xdr:row>1</xdr:row>
      <xdr:rowOff>11906</xdr:rowOff>
    </xdr:from>
    <xdr:to>
      <xdr:col>6</xdr:col>
      <xdr:colOff>261938</xdr:colOff>
      <xdr:row>38</xdr:row>
      <xdr:rowOff>157163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428625</xdr:colOff>
      <xdr:row>37</xdr:row>
      <xdr:rowOff>147638</xdr:rowOff>
    </xdr:from>
    <xdr:to>
      <xdr:col>6</xdr:col>
      <xdr:colOff>219075</xdr:colOff>
      <xdr:row>39</xdr:row>
      <xdr:rowOff>176213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6200775" y="7167563"/>
          <a:ext cx="438150" cy="390525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0</xdr:rowOff>
        </xdr:from>
        <xdr:to>
          <xdr:col>3</xdr:col>
          <xdr:colOff>1228725</xdr:colOff>
          <xdr:row>10</xdr:row>
          <xdr:rowOff>0</xdr:rowOff>
        </xdr:to>
        <xdr:sp macro="" textlink="">
          <xdr:nvSpPr>
            <xdr:cNvPr id="11265" name="Group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Down Payment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</xdr:row>
          <xdr:rowOff>180975</xdr:rowOff>
        </xdr:from>
        <xdr:to>
          <xdr:col>3</xdr:col>
          <xdr:colOff>1228725</xdr:colOff>
          <xdr:row>16</xdr:row>
          <xdr:rowOff>0</xdr:rowOff>
        </xdr:to>
        <xdr:sp macro="" textlink="">
          <xdr:nvSpPr>
            <xdr:cNvPr id="11266" name="Group Box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8</xdr:row>
          <xdr:rowOff>66675</xdr:rowOff>
        </xdr:from>
        <xdr:to>
          <xdr:col>1</xdr:col>
          <xdr:colOff>609600</xdr:colOff>
          <xdr:row>9</xdr:row>
          <xdr:rowOff>142875</xdr:rowOff>
        </xdr:to>
        <xdr:sp macro="" textlink="">
          <xdr:nvSpPr>
            <xdr:cNvPr id="11267" name="Option 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A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8</xdr:row>
          <xdr:rowOff>66675</xdr:rowOff>
        </xdr:from>
        <xdr:to>
          <xdr:col>1</xdr:col>
          <xdr:colOff>1314450</xdr:colOff>
          <xdr:row>9</xdr:row>
          <xdr:rowOff>142875</xdr:rowOff>
        </xdr:to>
        <xdr:sp macro="" textlink="">
          <xdr:nvSpPr>
            <xdr:cNvPr id="11268" name="Option 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A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8</xdr:row>
          <xdr:rowOff>76200</xdr:rowOff>
        </xdr:from>
        <xdr:to>
          <xdr:col>1</xdr:col>
          <xdr:colOff>1971675</xdr:colOff>
          <xdr:row>9</xdr:row>
          <xdr:rowOff>133350</xdr:rowOff>
        </xdr:to>
        <xdr:sp macro="" textlink="">
          <xdr:nvSpPr>
            <xdr:cNvPr id="11269" name="Option 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8</xdr:row>
          <xdr:rowOff>76200</xdr:rowOff>
        </xdr:from>
        <xdr:to>
          <xdr:col>2</xdr:col>
          <xdr:colOff>514350</xdr:colOff>
          <xdr:row>9</xdr:row>
          <xdr:rowOff>133350</xdr:rowOff>
        </xdr:to>
        <xdr:sp macro="" textlink="">
          <xdr:nvSpPr>
            <xdr:cNvPr id="11270" name="Option 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A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8</xdr:row>
          <xdr:rowOff>85725</xdr:rowOff>
        </xdr:from>
        <xdr:to>
          <xdr:col>3</xdr:col>
          <xdr:colOff>552450</xdr:colOff>
          <xdr:row>9</xdr:row>
          <xdr:rowOff>114300</xdr:rowOff>
        </xdr:to>
        <xdr:sp macro="" textlink="">
          <xdr:nvSpPr>
            <xdr:cNvPr id="11271" name="Option 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A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8</xdr:row>
          <xdr:rowOff>85725</xdr:rowOff>
        </xdr:from>
        <xdr:to>
          <xdr:col>3</xdr:col>
          <xdr:colOff>1190625</xdr:colOff>
          <xdr:row>9</xdr:row>
          <xdr:rowOff>114300</xdr:rowOff>
        </xdr:to>
        <xdr:sp macro="" textlink="">
          <xdr:nvSpPr>
            <xdr:cNvPr id="11272" name="Option Button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A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13</xdr:row>
          <xdr:rowOff>95250</xdr:rowOff>
        </xdr:from>
        <xdr:to>
          <xdr:col>1</xdr:col>
          <xdr:colOff>1085850</xdr:colOff>
          <xdr:row>14</xdr:row>
          <xdr:rowOff>85725</xdr:rowOff>
        </xdr:to>
        <xdr:sp macro="" textlink="">
          <xdr:nvSpPr>
            <xdr:cNvPr id="11273" name="Option Button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A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13</xdr:row>
          <xdr:rowOff>85725</xdr:rowOff>
        </xdr:from>
        <xdr:to>
          <xdr:col>2</xdr:col>
          <xdr:colOff>28575</xdr:colOff>
          <xdr:row>14</xdr:row>
          <xdr:rowOff>76200</xdr:rowOff>
        </xdr:to>
        <xdr:sp macro="" textlink="">
          <xdr:nvSpPr>
            <xdr:cNvPr id="11274" name="Option Button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A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13</xdr:row>
          <xdr:rowOff>85725</xdr:rowOff>
        </xdr:from>
        <xdr:to>
          <xdr:col>3</xdr:col>
          <xdr:colOff>819150</xdr:colOff>
          <xdr:row>14</xdr:row>
          <xdr:rowOff>76200</xdr:rowOff>
        </xdr:to>
        <xdr:sp macro="" textlink="">
          <xdr:nvSpPr>
            <xdr:cNvPr id="11275" name="Option 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A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14</xdr:row>
          <xdr:rowOff>104775</xdr:rowOff>
        </xdr:from>
        <xdr:to>
          <xdr:col>1</xdr:col>
          <xdr:colOff>1085850</xdr:colOff>
          <xdr:row>15</xdr:row>
          <xdr:rowOff>95250</xdr:rowOff>
        </xdr:to>
        <xdr:sp macro="" textlink="">
          <xdr:nvSpPr>
            <xdr:cNvPr id="11276" name="Option 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A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14</xdr:row>
          <xdr:rowOff>104775</xdr:rowOff>
        </xdr:from>
        <xdr:to>
          <xdr:col>2</xdr:col>
          <xdr:colOff>28575</xdr:colOff>
          <xdr:row>15</xdr:row>
          <xdr:rowOff>95250</xdr:rowOff>
        </xdr:to>
        <xdr:sp macro="" textlink="">
          <xdr:nvSpPr>
            <xdr:cNvPr id="11277" name="Option Button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A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14</xdr:row>
          <xdr:rowOff>104775</xdr:rowOff>
        </xdr:from>
        <xdr:to>
          <xdr:col>3</xdr:col>
          <xdr:colOff>819150</xdr:colOff>
          <xdr:row>15</xdr:row>
          <xdr:rowOff>95250</xdr:rowOff>
        </xdr:to>
        <xdr:sp macro="" textlink="">
          <xdr:nvSpPr>
            <xdr:cNvPr id="11278" name="Option Button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A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17</xdr:row>
          <xdr:rowOff>0</xdr:rowOff>
        </xdr:from>
        <xdr:to>
          <xdr:col>1</xdr:col>
          <xdr:colOff>2047875</xdr:colOff>
          <xdr:row>18</xdr:row>
          <xdr:rowOff>9525</xdr:rowOff>
        </xdr:to>
        <xdr:sp macro="" textlink="">
          <xdr:nvSpPr>
            <xdr:cNvPr id="11279" name="Drop Dow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A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16</xdr:row>
          <xdr:rowOff>171450</xdr:rowOff>
        </xdr:from>
        <xdr:to>
          <xdr:col>3</xdr:col>
          <xdr:colOff>1285875</xdr:colOff>
          <xdr:row>18</xdr:row>
          <xdr:rowOff>9525</xdr:rowOff>
        </xdr:to>
        <xdr:sp macro="" textlink="">
          <xdr:nvSpPr>
            <xdr:cNvPr id="11280" name="Check Box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A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Interest Only Loan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2380</xdr:colOff>
      <xdr:row>1</xdr:row>
      <xdr:rowOff>11906</xdr:rowOff>
    </xdr:from>
    <xdr:to>
      <xdr:col>6</xdr:col>
      <xdr:colOff>261938</xdr:colOff>
      <xdr:row>38</xdr:row>
      <xdr:rowOff>157163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428625</xdr:colOff>
      <xdr:row>37</xdr:row>
      <xdr:rowOff>147638</xdr:rowOff>
    </xdr:from>
    <xdr:to>
      <xdr:col>6</xdr:col>
      <xdr:colOff>219075</xdr:colOff>
      <xdr:row>39</xdr:row>
      <xdr:rowOff>176213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6200775" y="7167563"/>
          <a:ext cx="438150" cy="390525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0</xdr:rowOff>
        </xdr:from>
        <xdr:to>
          <xdr:col>5</xdr:col>
          <xdr:colOff>1228725</xdr:colOff>
          <xdr:row>12</xdr:row>
          <xdr:rowOff>0</xdr:rowOff>
        </xdr:to>
        <xdr:sp macro="" textlink="">
          <xdr:nvSpPr>
            <xdr:cNvPr id="14337" name="Group Box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B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Down Payment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14</xdr:row>
          <xdr:rowOff>180975</xdr:rowOff>
        </xdr:from>
        <xdr:to>
          <xdr:col>5</xdr:col>
          <xdr:colOff>1228725</xdr:colOff>
          <xdr:row>18</xdr:row>
          <xdr:rowOff>0</xdr:rowOff>
        </xdr:to>
        <xdr:sp macro="" textlink="">
          <xdr:nvSpPr>
            <xdr:cNvPr id="14338" name="Group Box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B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10</xdr:row>
          <xdr:rowOff>66675</xdr:rowOff>
        </xdr:from>
        <xdr:to>
          <xdr:col>3</xdr:col>
          <xdr:colOff>609600</xdr:colOff>
          <xdr:row>11</xdr:row>
          <xdr:rowOff>147638</xdr:rowOff>
        </xdr:to>
        <xdr:sp macro="" textlink="">
          <xdr:nvSpPr>
            <xdr:cNvPr id="14339" name="Option 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B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10</xdr:row>
          <xdr:rowOff>66675</xdr:rowOff>
        </xdr:from>
        <xdr:to>
          <xdr:col>3</xdr:col>
          <xdr:colOff>1314450</xdr:colOff>
          <xdr:row>11</xdr:row>
          <xdr:rowOff>147638</xdr:rowOff>
        </xdr:to>
        <xdr:sp macro="" textlink="">
          <xdr:nvSpPr>
            <xdr:cNvPr id="14340" name="Option 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B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1495425</xdr:colOff>
          <xdr:row>10</xdr:row>
          <xdr:rowOff>76200</xdr:rowOff>
        </xdr:from>
        <xdr:to>
          <xdr:col>3</xdr:col>
          <xdr:colOff>1971675</xdr:colOff>
          <xdr:row>11</xdr:row>
          <xdr:rowOff>133350</xdr:rowOff>
        </xdr:to>
        <xdr:sp macro="" textlink="">
          <xdr:nvSpPr>
            <xdr:cNvPr id="14341" name="Option 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B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76200</xdr:rowOff>
        </xdr:from>
        <xdr:to>
          <xdr:col>4</xdr:col>
          <xdr:colOff>514350</xdr:colOff>
          <xdr:row>11</xdr:row>
          <xdr:rowOff>133350</xdr:rowOff>
        </xdr:to>
        <xdr:sp macro="" textlink="">
          <xdr:nvSpPr>
            <xdr:cNvPr id="14342" name="Option 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B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10</xdr:row>
          <xdr:rowOff>85725</xdr:rowOff>
        </xdr:from>
        <xdr:to>
          <xdr:col>5</xdr:col>
          <xdr:colOff>552450</xdr:colOff>
          <xdr:row>11</xdr:row>
          <xdr:rowOff>114300</xdr:rowOff>
        </xdr:to>
        <xdr:sp macro="" textlink="">
          <xdr:nvSpPr>
            <xdr:cNvPr id="14343" name="Option Button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B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10</xdr:row>
          <xdr:rowOff>85725</xdr:rowOff>
        </xdr:from>
        <xdr:to>
          <xdr:col>5</xdr:col>
          <xdr:colOff>1195388</xdr:colOff>
          <xdr:row>11</xdr:row>
          <xdr:rowOff>114300</xdr:rowOff>
        </xdr:to>
        <xdr:sp macro="" textlink="">
          <xdr:nvSpPr>
            <xdr:cNvPr id="14344" name="Option 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B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15</xdr:row>
          <xdr:rowOff>95250</xdr:rowOff>
        </xdr:from>
        <xdr:to>
          <xdr:col>3</xdr:col>
          <xdr:colOff>1085850</xdr:colOff>
          <xdr:row>16</xdr:row>
          <xdr:rowOff>85725</xdr:rowOff>
        </xdr:to>
        <xdr:sp macro="" textlink="">
          <xdr:nvSpPr>
            <xdr:cNvPr id="14345" name="Option 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B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1514475</xdr:colOff>
          <xdr:row>15</xdr:row>
          <xdr:rowOff>85725</xdr:rowOff>
        </xdr:from>
        <xdr:to>
          <xdr:col>4</xdr:col>
          <xdr:colOff>28575</xdr:colOff>
          <xdr:row>16</xdr:row>
          <xdr:rowOff>76200</xdr:rowOff>
        </xdr:to>
        <xdr:sp macro="" textlink="">
          <xdr:nvSpPr>
            <xdr:cNvPr id="14346" name="Option 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B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15</xdr:row>
          <xdr:rowOff>85725</xdr:rowOff>
        </xdr:from>
        <xdr:to>
          <xdr:col>5</xdr:col>
          <xdr:colOff>819150</xdr:colOff>
          <xdr:row>16</xdr:row>
          <xdr:rowOff>76200</xdr:rowOff>
        </xdr:to>
        <xdr:sp macro="" textlink="">
          <xdr:nvSpPr>
            <xdr:cNvPr id="14347" name="Option 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B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16</xdr:row>
          <xdr:rowOff>104775</xdr:rowOff>
        </xdr:from>
        <xdr:to>
          <xdr:col>3</xdr:col>
          <xdr:colOff>1085850</xdr:colOff>
          <xdr:row>17</xdr:row>
          <xdr:rowOff>95250</xdr:rowOff>
        </xdr:to>
        <xdr:sp macro="" textlink="">
          <xdr:nvSpPr>
            <xdr:cNvPr id="14348" name="Option 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B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1514475</xdr:colOff>
          <xdr:row>16</xdr:row>
          <xdr:rowOff>104775</xdr:rowOff>
        </xdr:from>
        <xdr:to>
          <xdr:col>4</xdr:col>
          <xdr:colOff>28575</xdr:colOff>
          <xdr:row>17</xdr:row>
          <xdr:rowOff>95250</xdr:rowOff>
        </xdr:to>
        <xdr:sp macro="" textlink="">
          <xdr:nvSpPr>
            <xdr:cNvPr id="14349" name="Option 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B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16</xdr:row>
          <xdr:rowOff>104775</xdr:rowOff>
        </xdr:from>
        <xdr:to>
          <xdr:col>5</xdr:col>
          <xdr:colOff>819150</xdr:colOff>
          <xdr:row>17</xdr:row>
          <xdr:rowOff>95250</xdr:rowOff>
        </xdr:to>
        <xdr:sp macro="" textlink="">
          <xdr:nvSpPr>
            <xdr:cNvPr id="14350" name="Option 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B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619125</xdr:colOff>
          <xdr:row>19</xdr:row>
          <xdr:rowOff>0</xdr:rowOff>
        </xdr:from>
        <xdr:to>
          <xdr:col>3</xdr:col>
          <xdr:colOff>2047875</xdr:colOff>
          <xdr:row>20</xdr:row>
          <xdr:rowOff>9525</xdr:rowOff>
        </xdr:to>
        <xdr:sp macro="" textlink="">
          <xdr:nvSpPr>
            <xdr:cNvPr id="14351" name="Drop Down 15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B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18</xdr:row>
          <xdr:rowOff>171450</xdr:rowOff>
        </xdr:from>
        <xdr:to>
          <xdr:col>5</xdr:col>
          <xdr:colOff>1285875</xdr:colOff>
          <xdr:row>20</xdr:row>
          <xdr:rowOff>9525</xdr:rowOff>
        </xdr:to>
        <xdr:sp macro="" textlink="">
          <xdr:nvSpPr>
            <xdr:cNvPr id="14352" name="Check Box 16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B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Interest Only Loan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13588</xdr:colOff>
      <xdr:row>3</xdr:row>
      <xdr:rowOff>44823</xdr:rowOff>
    </xdr:from>
    <xdr:to>
      <xdr:col>8</xdr:col>
      <xdr:colOff>1</xdr:colOff>
      <xdr:row>25</xdr:row>
      <xdr:rowOff>11205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428626</xdr:colOff>
      <xdr:row>21</xdr:row>
      <xdr:rowOff>53627</xdr:rowOff>
    </xdr:from>
    <xdr:to>
      <xdr:col>7</xdr:col>
      <xdr:colOff>913279</xdr:colOff>
      <xdr:row>23</xdr:row>
      <xdr:rowOff>106455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6328524" y="4261436"/>
          <a:ext cx="484653" cy="422623"/>
        </a:xfrm>
        <a:prstGeom prst="ellipse">
          <a:avLst/>
        </a:prstGeom>
        <a:solidFill>
          <a:schemeClr val="accent5">
            <a:lumMod val="75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16809</xdr:colOff>
      <xdr:row>10</xdr:row>
      <xdr:rowOff>16809</xdr:rowOff>
    </xdr:from>
    <xdr:to>
      <xdr:col>12</xdr:col>
      <xdr:colOff>683559</xdr:colOff>
      <xdr:row>24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0</xdr:rowOff>
        </xdr:from>
        <xdr:to>
          <xdr:col>5</xdr:col>
          <xdr:colOff>1228725</xdr:colOff>
          <xdr:row>12</xdr:row>
          <xdr:rowOff>0</xdr:rowOff>
        </xdr:to>
        <xdr:sp macro="" textlink="">
          <xdr:nvSpPr>
            <xdr:cNvPr id="16385" name="Group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Down Payment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14</xdr:row>
          <xdr:rowOff>180975</xdr:rowOff>
        </xdr:from>
        <xdr:to>
          <xdr:col>5</xdr:col>
          <xdr:colOff>1228725</xdr:colOff>
          <xdr:row>18</xdr:row>
          <xdr:rowOff>0</xdr:rowOff>
        </xdr:to>
        <xdr:sp macro="" textlink="">
          <xdr:nvSpPr>
            <xdr:cNvPr id="16386" name="Group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C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10</xdr:row>
          <xdr:rowOff>66675</xdr:rowOff>
        </xdr:from>
        <xdr:to>
          <xdr:col>3</xdr:col>
          <xdr:colOff>609600</xdr:colOff>
          <xdr:row>11</xdr:row>
          <xdr:rowOff>147638</xdr:rowOff>
        </xdr:to>
        <xdr:sp macro="" textlink="">
          <xdr:nvSpPr>
            <xdr:cNvPr id="16387" name="Option 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C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10</xdr:row>
          <xdr:rowOff>66675</xdr:rowOff>
        </xdr:from>
        <xdr:to>
          <xdr:col>3</xdr:col>
          <xdr:colOff>1314450</xdr:colOff>
          <xdr:row>11</xdr:row>
          <xdr:rowOff>147638</xdr:rowOff>
        </xdr:to>
        <xdr:sp macro="" textlink="">
          <xdr:nvSpPr>
            <xdr:cNvPr id="16388" name="Option 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C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1495425</xdr:colOff>
          <xdr:row>10</xdr:row>
          <xdr:rowOff>76200</xdr:rowOff>
        </xdr:from>
        <xdr:to>
          <xdr:col>3</xdr:col>
          <xdr:colOff>1971675</xdr:colOff>
          <xdr:row>11</xdr:row>
          <xdr:rowOff>133350</xdr:rowOff>
        </xdr:to>
        <xdr:sp macro="" textlink="">
          <xdr:nvSpPr>
            <xdr:cNvPr id="16389" name="Option 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C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76200</xdr:rowOff>
        </xdr:from>
        <xdr:to>
          <xdr:col>4</xdr:col>
          <xdr:colOff>514350</xdr:colOff>
          <xdr:row>11</xdr:row>
          <xdr:rowOff>133350</xdr:rowOff>
        </xdr:to>
        <xdr:sp macro="" textlink="">
          <xdr:nvSpPr>
            <xdr:cNvPr id="16390" name="Option 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C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10</xdr:row>
          <xdr:rowOff>85725</xdr:rowOff>
        </xdr:from>
        <xdr:to>
          <xdr:col>5</xdr:col>
          <xdr:colOff>552450</xdr:colOff>
          <xdr:row>11</xdr:row>
          <xdr:rowOff>114300</xdr:rowOff>
        </xdr:to>
        <xdr:sp macro="" textlink="">
          <xdr:nvSpPr>
            <xdr:cNvPr id="16391" name="Option 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C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10</xdr:row>
          <xdr:rowOff>85725</xdr:rowOff>
        </xdr:from>
        <xdr:to>
          <xdr:col>5</xdr:col>
          <xdr:colOff>1195388</xdr:colOff>
          <xdr:row>11</xdr:row>
          <xdr:rowOff>114300</xdr:rowOff>
        </xdr:to>
        <xdr:sp macro="" textlink="">
          <xdr:nvSpPr>
            <xdr:cNvPr id="16392" name="Option 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C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15</xdr:row>
          <xdr:rowOff>95250</xdr:rowOff>
        </xdr:from>
        <xdr:to>
          <xdr:col>3</xdr:col>
          <xdr:colOff>1085850</xdr:colOff>
          <xdr:row>16</xdr:row>
          <xdr:rowOff>85725</xdr:rowOff>
        </xdr:to>
        <xdr:sp macro="" textlink="">
          <xdr:nvSpPr>
            <xdr:cNvPr id="16393" name="Option 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C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1514475</xdr:colOff>
          <xdr:row>15</xdr:row>
          <xdr:rowOff>85725</xdr:rowOff>
        </xdr:from>
        <xdr:to>
          <xdr:col>4</xdr:col>
          <xdr:colOff>28575</xdr:colOff>
          <xdr:row>16</xdr:row>
          <xdr:rowOff>76200</xdr:rowOff>
        </xdr:to>
        <xdr:sp macro="" textlink="">
          <xdr:nvSpPr>
            <xdr:cNvPr id="16394" name="Option 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C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15</xdr:row>
          <xdr:rowOff>85725</xdr:rowOff>
        </xdr:from>
        <xdr:to>
          <xdr:col>5</xdr:col>
          <xdr:colOff>819150</xdr:colOff>
          <xdr:row>16</xdr:row>
          <xdr:rowOff>76200</xdr:rowOff>
        </xdr:to>
        <xdr:sp macro="" textlink="">
          <xdr:nvSpPr>
            <xdr:cNvPr id="16395" name="Option 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C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16</xdr:row>
          <xdr:rowOff>104775</xdr:rowOff>
        </xdr:from>
        <xdr:to>
          <xdr:col>3</xdr:col>
          <xdr:colOff>1085850</xdr:colOff>
          <xdr:row>17</xdr:row>
          <xdr:rowOff>95250</xdr:rowOff>
        </xdr:to>
        <xdr:sp macro="" textlink="">
          <xdr:nvSpPr>
            <xdr:cNvPr id="16396" name="Option 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C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1514475</xdr:colOff>
          <xdr:row>16</xdr:row>
          <xdr:rowOff>104775</xdr:rowOff>
        </xdr:from>
        <xdr:to>
          <xdr:col>4</xdr:col>
          <xdr:colOff>28575</xdr:colOff>
          <xdr:row>17</xdr:row>
          <xdr:rowOff>95250</xdr:rowOff>
        </xdr:to>
        <xdr:sp macro="" textlink="">
          <xdr:nvSpPr>
            <xdr:cNvPr id="16397" name="Option 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C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16</xdr:row>
          <xdr:rowOff>104775</xdr:rowOff>
        </xdr:from>
        <xdr:to>
          <xdr:col>5</xdr:col>
          <xdr:colOff>819150</xdr:colOff>
          <xdr:row>17</xdr:row>
          <xdr:rowOff>95250</xdr:rowOff>
        </xdr:to>
        <xdr:sp macro="" textlink="">
          <xdr:nvSpPr>
            <xdr:cNvPr id="16398" name="Option 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C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619125</xdr:colOff>
          <xdr:row>19</xdr:row>
          <xdr:rowOff>0</xdr:rowOff>
        </xdr:from>
        <xdr:to>
          <xdr:col>3</xdr:col>
          <xdr:colOff>2052638</xdr:colOff>
          <xdr:row>20</xdr:row>
          <xdr:rowOff>9525</xdr:rowOff>
        </xdr:to>
        <xdr:sp macro="" textlink="">
          <xdr:nvSpPr>
            <xdr:cNvPr id="16399" name="Drop Dow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C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18</xdr:row>
          <xdr:rowOff>171450</xdr:rowOff>
        </xdr:from>
        <xdr:to>
          <xdr:col>5</xdr:col>
          <xdr:colOff>1290638</xdr:colOff>
          <xdr:row>20</xdr:row>
          <xdr:rowOff>9525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C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Interest Only Loan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13588</xdr:colOff>
      <xdr:row>3</xdr:row>
      <xdr:rowOff>44823</xdr:rowOff>
    </xdr:from>
    <xdr:to>
      <xdr:col>8</xdr:col>
      <xdr:colOff>1</xdr:colOff>
      <xdr:row>25</xdr:row>
      <xdr:rowOff>11205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428626</xdr:colOff>
      <xdr:row>21</xdr:row>
      <xdr:rowOff>53627</xdr:rowOff>
    </xdr:from>
    <xdr:to>
      <xdr:col>7</xdr:col>
      <xdr:colOff>913279</xdr:colOff>
      <xdr:row>23</xdr:row>
      <xdr:rowOff>106455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6324601" y="4363690"/>
          <a:ext cx="484653" cy="424303"/>
        </a:xfrm>
        <a:prstGeom prst="ellipse">
          <a:avLst/>
        </a:prstGeom>
        <a:solidFill>
          <a:schemeClr val="accent5">
            <a:lumMod val="75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16809</xdr:colOff>
      <xdr:row>10</xdr:row>
      <xdr:rowOff>16809</xdr:rowOff>
    </xdr:from>
    <xdr:to>
      <xdr:col>12</xdr:col>
      <xdr:colOff>683559</xdr:colOff>
      <xdr:row>24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280147</xdr:colOff>
      <xdr:row>10</xdr:row>
      <xdr:rowOff>134470</xdr:rowOff>
    </xdr:from>
    <xdr:to>
      <xdr:col>13</xdr:col>
      <xdr:colOff>851646</xdr:colOff>
      <xdr:row>14</xdr:row>
      <xdr:rowOff>5603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10970559" y="2431676"/>
          <a:ext cx="1686485" cy="599515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More</a:t>
          </a:r>
          <a:r>
            <a:rPr lang="en-US" sz="1200" b="1" baseline="0"/>
            <a:t> Loan Information</a:t>
          </a:r>
          <a:endParaRPr lang="en-US" sz="1200" b="1"/>
        </a:p>
      </xdr:txBody>
    </xdr:sp>
    <xdr:clientData/>
  </xdr:twoCellAnchor>
  <xdr:twoCellAnchor>
    <xdr:from>
      <xdr:col>12</xdr:col>
      <xdr:colOff>280147</xdr:colOff>
      <xdr:row>15</xdr:row>
      <xdr:rowOff>104775</xdr:rowOff>
    </xdr:from>
    <xdr:to>
      <xdr:col>13</xdr:col>
      <xdr:colOff>851646</xdr:colOff>
      <xdr:row>18</xdr:row>
      <xdr:rowOff>166407</xdr:rowOff>
    </xdr:to>
    <xdr:sp macro="[0]!Print_Revie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0970559" y="3309657"/>
          <a:ext cx="1686485" cy="599515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Print Preview</a:t>
          </a:r>
          <a:r>
            <a:rPr lang="en-US" sz="1200" b="1" baseline="0"/>
            <a:t> // Print</a:t>
          </a:r>
          <a:endParaRPr lang="en-US" sz="1200" b="1"/>
        </a:p>
      </xdr:txBody>
    </xdr:sp>
    <xdr:clientData/>
  </xdr:twoCellAnchor>
  <xdr:twoCellAnchor>
    <xdr:from>
      <xdr:col>12</xdr:col>
      <xdr:colOff>280147</xdr:colOff>
      <xdr:row>20</xdr:row>
      <xdr:rowOff>86285</xdr:rowOff>
    </xdr:from>
    <xdr:to>
      <xdr:col>13</xdr:col>
      <xdr:colOff>851646</xdr:colOff>
      <xdr:row>23</xdr:row>
      <xdr:rowOff>131108</xdr:rowOff>
    </xdr:to>
    <xdr:sp macro="[0]!SaveWorkshee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10970559" y="4187638"/>
          <a:ext cx="1686485" cy="599515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Save and</a:t>
          </a:r>
          <a:r>
            <a:rPr lang="en-US" sz="1200" b="1" baseline="0"/>
            <a:t> Exit</a:t>
          </a:r>
          <a:endParaRPr lang="en-US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13" Type="http://schemas.openxmlformats.org/officeDocument/2006/relationships/ctrlProp" Target="../ctrlProps/ctrlProp41.xml"/><Relationship Id="rId3" Type="http://schemas.openxmlformats.org/officeDocument/2006/relationships/ctrlProp" Target="../ctrlProps/ctrlProp31.x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44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10" Type="http://schemas.openxmlformats.org/officeDocument/2006/relationships/ctrlProp" Target="../ctrlProps/ctrlProp38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13" Type="http://schemas.openxmlformats.org/officeDocument/2006/relationships/ctrlProp" Target="../ctrlProps/ctrlProp56.xml"/><Relationship Id="rId3" Type="http://schemas.openxmlformats.org/officeDocument/2006/relationships/ctrlProp" Target="../ctrlProps/ctrlProp46.xml"/><Relationship Id="rId7" Type="http://schemas.openxmlformats.org/officeDocument/2006/relationships/ctrlProp" Target="../ctrlProps/ctrlProp50.xml"/><Relationship Id="rId12" Type="http://schemas.openxmlformats.org/officeDocument/2006/relationships/ctrlProp" Target="../ctrlProps/ctrlProp55.xml"/><Relationship Id="rId17" Type="http://schemas.openxmlformats.org/officeDocument/2006/relationships/ctrlProp" Target="../ctrlProps/ctrlProp60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59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49.xml"/><Relationship Id="rId11" Type="http://schemas.openxmlformats.org/officeDocument/2006/relationships/ctrlProp" Target="../ctrlProps/ctrlProp54.xml"/><Relationship Id="rId5" Type="http://schemas.openxmlformats.org/officeDocument/2006/relationships/ctrlProp" Target="../ctrlProps/ctrlProp48.xml"/><Relationship Id="rId15" Type="http://schemas.openxmlformats.org/officeDocument/2006/relationships/ctrlProp" Target="../ctrlProps/ctrlProp58.xml"/><Relationship Id="rId10" Type="http://schemas.openxmlformats.org/officeDocument/2006/relationships/ctrlProp" Target="../ctrlProps/ctrlProp53.xml"/><Relationship Id="rId4" Type="http://schemas.openxmlformats.org/officeDocument/2006/relationships/ctrlProp" Target="../ctrlProps/ctrlProp47.xml"/><Relationship Id="rId9" Type="http://schemas.openxmlformats.org/officeDocument/2006/relationships/ctrlProp" Target="../ctrlProps/ctrlProp52.xml"/><Relationship Id="rId14" Type="http://schemas.openxmlformats.org/officeDocument/2006/relationships/ctrlProp" Target="../ctrlProps/ctrlProp5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6.xml"/><Relationship Id="rId13" Type="http://schemas.openxmlformats.org/officeDocument/2006/relationships/ctrlProp" Target="../ctrlProps/ctrlProp71.xml"/><Relationship Id="rId3" Type="http://schemas.openxmlformats.org/officeDocument/2006/relationships/ctrlProp" Target="../ctrlProps/ctrlProp61.xml"/><Relationship Id="rId7" Type="http://schemas.openxmlformats.org/officeDocument/2006/relationships/ctrlProp" Target="../ctrlProps/ctrlProp65.xml"/><Relationship Id="rId12" Type="http://schemas.openxmlformats.org/officeDocument/2006/relationships/ctrlProp" Target="../ctrlProps/ctrlProp70.xml"/><Relationship Id="rId17" Type="http://schemas.openxmlformats.org/officeDocument/2006/relationships/ctrlProp" Target="../ctrlProps/ctrlProp75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74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64.xml"/><Relationship Id="rId11" Type="http://schemas.openxmlformats.org/officeDocument/2006/relationships/ctrlProp" Target="../ctrlProps/ctrlProp69.xml"/><Relationship Id="rId5" Type="http://schemas.openxmlformats.org/officeDocument/2006/relationships/ctrlProp" Target="../ctrlProps/ctrlProp63.xml"/><Relationship Id="rId15" Type="http://schemas.openxmlformats.org/officeDocument/2006/relationships/ctrlProp" Target="../ctrlProps/ctrlProp73.xml"/><Relationship Id="rId10" Type="http://schemas.openxmlformats.org/officeDocument/2006/relationships/ctrlProp" Target="../ctrlProps/ctrlProp68.xml"/><Relationship Id="rId4" Type="http://schemas.openxmlformats.org/officeDocument/2006/relationships/ctrlProp" Target="../ctrlProps/ctrlProp62.xml"/><Relationship Id="rId9" Type="http://schemas.openxmlformats.org/officeDocument/2006/relationships/ctrlProp" Target="../ctrlProps/ctrlProp67.xml"/><Relationship Id="rId14" Type="http://schemas.openxmlformats.org/officeDocument/2006/relationships/ctrlProp" Target="../ctrlProps/ctrlProp7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1.xml"/><Relationship Id="rId13" Type="http://schemas.openxmlformats.org/officeDocument/2006/relationships/ctrlProp" Target="../ctrlProps/ctrlProp86.xml"/><Relationship Id="rId18" Type="http://schemas.openxmlformats.org/officeDocument/2006/relationships/ctrlProp" Target="../ctrlProps/ctrlProp91.xml"/><Relationship Id="rId3" Type="http://schemas.openxmlformats.org/officeDocument/2006/relationships/ctrlProp" Target="../ctrlProps/ctrlProp76.xml"/><Relationship Id="rId7" Type="http://schemas.openxmlformats.org/officeDocument/2006/relationships/ctrlProp" Target="../ctrlProps/ctrlProp80.xml"/><Relationship Id="rId12" Type="http://schemas.openxmlformats.org/officeDocument/2006/relationships/ctrlProp" Target="../ctrlProps/ctrlProp85.xml"/><Relationship Id="rId17" Type="http://schemas.openxmlformats.org/officeDocument/2006/relationships/ctrlProp" Target="../ctrlProps/ctrlProp9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89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79.xml"/><Relationship Id="rId11" Type="http://schemas.openxmlformats.org/officeDocument/2006/relationships/ctrlProp" Target="../ctrlProps/ctrlProp84.xml"/><Relationship Id="rId5" Type="http://schemas.openxmlformats.org/officeDocument/2006/relationships/ctrlProp" Target="../ctrlProps/ctrlProp78.xml"/><Relationship Id="rId15" Type="http://schemas.openxmlformats.org/officeDocument/2006/relationships/ctrlProp" Target="../ctrlProps/ctrlProp88.xml"/><Relationship Id="rId10" Type="http://schemas.openxmlformats.org/officeDocument/2006/relationships/ctrlProp" Target="../ctrlProps/ctrlProp83.xml"/><Relationship Id="rId4" Type="http://schemas.openxmlformats.org/officeDocument/2006/relationships/ctrlProp" Target="../ctrlProps/ctrlProp77.xml"/><Relationship Id="rId9" Type="http://schemas.openxmlformats.org/officeDocument/2006/relationships/ctrlProp" Target="../ctrlProps/ctrlProp82.xml"/><Relationship Id="rId14" Type="http://schemas.openxmlformats.org/officeDocument/2006/relationships/ctrlProp" Target="../ctrlProps/ctrlProp8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3" Type="http://schemas.openxmlformats.org/officeDocument/2006/relationships/ctrlProp" Target="../ctrlProps/ctrlProp92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" Type="http://schemas.openxmlformats.org/officeDocument/2006/relationships/vmlDrawing" Target="../drawings/vmlDrawing7.vml"/><Relationship Id="rId16" Type="http://schemas.openxmlformats.org/officeDocument/2006/relationships/ctrlProp" Target="../ctrlProps/ctrlProp105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10" Type="http://schemas.openxmlformats.org/officeDocument/2006/relationships/ctrlProp" Target="../ctrlProps/ctrlProp99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3.xml"/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3" Type="http://schemas.openxmlformats.org/officeDocument/2006/relationships/ctrlProp" Target="../ctrlProps/ctrlProp108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" Type="http://schemas.openxmlformats.org/officeDocument/2006/relationships/vmlDrawing" Target="../drawings/vmlDrawing8.vml"/><Relationship Id="rId16" Type="http://schemas.openxmlformats.org/officeDocument/2006/relationships/ctrlProp" Target="../ctrlProps/ctrlProp121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10" Type="http://schemas.openxmlformats.org/officeDocument/2006/relationships/ctrlProp" Target="../ctrlProps/ctrlProp115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9.xml"/><Relationship Id="rId13" Type="http://schemas.openxmlformats.org/officeDocument/2006/relationships/ctrlProp" Target="../ctrlProps/ctrlProp134.xml"/><Relationship Id="rId18" Type="http://schemas.openxmlformats.org/officeDocument/2006/relationships/ctrlProp" Target="../ctrlProps/ctrlProp139.xml"/><Relationship Id="rId3" Type="http://schemas.openxmlformats.org/officeDocument/2006/relationships/ctrlProp" Target="../ctrlProps/ctrlProp124.xml"/><Relationship Id="rId7" Type="http://schemas.openxmlformats.org/officeDocument/2006/relationships/ctrlProp" Target="../ctrlProps/ctrlProp128.xml"/><Relationship Id="rId12" Type="http://schemas.openxmlformats.org/officeDocument/2006/relationships/ctrlProp" Target="../ctrlProps/ctrlProp133.xml"/><Relationship Id="rId17" Type="http://schemas.openxmlformats.org/officeDocument/2006/relationships/ctrlProp" Target="../ctrlProps/ctrlProp138.xml"/><Relationship Id="rId2" Type="http://schemas.openxmlformats.org/officeDocument/2006/relationships/vmlDrawing" Target="../drawings/vmlDrawing9.vml"/><Relationship Id="rId16" Type="http://schemas.openxmlformats.org/officeDocument/2006/relationships/ctrlProp" Target="../ctrlProps/ctrlProp137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127.xml"/><Relationship Id="rId11" Type="http://schemas.openxmlformats.org/officeDocument/2006/relationships/ctrlProp" Target="../ctrlProps/ctrlProp132.xml"/><Relationship Id="rId5" Type="http://schemas.openxmlformats.org/officeDocument/2006/relationships/ctrlProp" Target="../ctrlProps/ctrlProp126.xml"/><Relationship Id="rId15" Type="http://schemas.openxmlformats.org/officeDocument/2006/relationships/ctrlProp" Target="../ctrlProps/ctrlProp136.xml"/><Relationship Id="rId10" Type="http://schemas.openxmlformats.org/officeDocument/2006/relationships/ctrlProp" Target="../ctrlProps/ctrlProp131.xml"/><Relationship Id="rId4" Type="http://schemas.openxmlformats.org/officeDocument/2006/relationships/ctrlProp" Target="../ctrlProps/ctrlProp125.xml"/><Relationship Id="rId9" Type="http://schemas.openxmlformats.org/officeDocument/2006/relationships/ctrlProp" Target="../ctrlProps/ctrlProp130.xml"/><Relationship Id="rId14" Type="http://schemas.openxmlformats.org/officeDocument/2006/relationships/ctrlProp" Target="../ctrlProps/ctrlProp13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5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" Type="http://schemas.openxmlformats.org/officeDocument/2006/relationships/ctrlProp" Target="../ctrlProps/ctrlProp140.xml"/><Relationship Id="rId7" Type="http://schemas.openxmlformats.org/officeDocument/2006/relationships/ctrlProp" Target="../ctrlProps/ctrlProp144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2" Type="http://schemas.openxmlformats.org/officeDocument/2006/relationships/vmlDrawing" Target="../drawings/vmlDrawing10.vml"/><Relationship Id="rId16" Type="http://schemas.openxmlformats.org/officeDocument/2006/relationships/ctrlProp" Target="../ctrlProps/ctrlProp153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43.xml"/><Relationship Id="rId11" Type="http://schemas.openxmlformats.org/officeDocument/2006/relationships/ctrlProp" Target="../ctrlProps/ctrlProp148.xml"/><Relationship Id="rId5" Type="http://schemas.openxmlformats.org/officeDocument/2006/relationships/ctrlProp" Target="../ctrlProps/ctrlProp142.xml"/><Relationship Id="rId15" Type="http://schemas.openxmlformats.org/officeDocument/2006/relationships/ctrlProp" Target="../ctrlProps/ctrlProp152.xml"/><Relationship Id="rId10" Type="http://schemas.openxmlformats.org/officeDocument/2006/relationships/ctrlProp" Target="../ctrlProps/ctrlProp147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14" Type="http://schemas.openxmlformats.org/officeDocument/2006/relationships/ctrlProp" Target="../ctrlProps/ctrlProp15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1.xml"/><Relationship Id="rId13" Type="http://schemas.openxmlformats.org/officeDocument/2006/relationships/ctrlProp" Target="../ctrlProps/ctrlProp166.xml"/><Relationship Id="rId18" Type="http://schemas.openxmlformats.org/officeDocument/2006/relationships/ctrlProp" Target="../ctrlProps/ctrlProp171.xml"/><Relationship Id="rId3" Type="http://schemas.openxmlformats.org/officeDocument/2006/relationships/ctrlProp" Target="../ctrlProps/ctrlProp156.xml"/><Relationship Id="rId7" Type="http://schemas.openxmlformats.org/officeDocument/2006/relationships/ctrlProp" Target="../ctrlProps/ctrlProp160.xml"/><Relationship Id="rId12" Type="http://schemas.openxmlformats.org/officeDocument/2006/relationships/ctrlProp" Target="../ctrlProps/ctrlProp165.xml"/><Relationship Id="rId17" Type="http://schemas.openxmlformats.org/officeDocument/2006/relationships/ctrlProp" Target="../ctrlProps/ctrlProp170.xml"/><Relationship Id="rId2" Type="http://schemas.openxmlformats.org/officeDocument/2006/relationships/vmlDrawing" Target="../drawings/vmlDrawing11.vml"/><Relationship Id="rId16" Type="http://schemas.openxmlformats.org/officeDocument/2006/relationships/ctrlProp" Target="../ctrlProps/ctrlProp169.x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159.xml"/><Relationship Id="rId11" Type="http://schemas.openxmlformats.org/officeDocument/2006/relationships/ctrlProp" Target="../ctrlProps/ctrlProp164.xml"/><Relationship Id="rId5" Type="http://schemas.openxmlformats.org/officeDocument/2006/relationships/ctrlProp" Target="../ctrlProps/ctrlProp158.xml"/><Relationship Id="rId15" Type="http://schemas.openxmlformats.org/officeDocument/2006/relationships/ctrlProp" Target="../ctrlProps/ctrlProp168.xml"/><Relationship Id="rId10" Type="http://schemas.openxmlformats.org/officeDocument/2006/relationships/ctrlProp" Target="../ctrlProps/ctrlProp163.xml"/><Relationship Id="rId4" Type="http://schemas.openxmlformats.org/officeDocument/2006/relationships/ctrlProp" Target="../ctrlProps/ctrlProp157.xml"/><Relationship Id="rId9" Type="http://schemas.openxmlformats.org/officeDocument/2006/relationships/ctrlProp" Target="../ctrlProps/ctrlProp162.xml"/><Relationship Id="rId14" Type="http://schemas.openxmlformats.org/officeDocument/2006/relationships/ctrlProp" Target="../ctrlProps/ctrlProp16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6.xml"/><Relationship Id="rId13" Type="http://schemas.openxmlformats.org/officeDocument/2006/relationships/ctrlProp" Target="../ctrlProps/ctrlProp181.xml"/><Relationship Id="rId18" Type="http://schemas.openxmlformats.org/officeDocument/2006/relationships/ctrlProp" Target="../ctrlProps/ctrlProp18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175.xml"/><Relationship Id="rId12" Type="http://schemas.openxmlformats.org/officeDocument/2006/relationships/ctrlProp" Target="../ctrlProps/ctrlProp180.xml"/><Relationship Id="rId17" Type="http://schemas.openxmlformats.org/officeDocument/2006/relationships/ctrlProp" Target="../ctrlProps/ctrlProp185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4.xml"/><Relationship Id="rId11" Type="http://schemas.openxmlformats.org/officeDocument/2006/relationships/ctrlProp" Target="../ctrlProps/ctrlProp179.xml"/><Relationship Id="rId5" Type="http://schemas.openxmlformats.org/officeDocument/2006/relationships/ctrlProp" Target="../ctrlProps/ctrlProp173.xml"/><Relationship Id="rId15" Type="http://schemas.openxmlformats.org/officeDocument/2006/relationships/ctrlProp" Target="../ctrlProps/ctrlProp183.xml"/><Relationship Id="rId10" Type="http://schemas.openxmlformats.org/officeDocument/2006/relationships/ctrlProp" Target="../ctrlProps/ctrlProp178.xml"/><Relationship Id="rId19" Type="http://schemas.openxmlformats.org/officeDocument/2006/relationships/ctrlProp" Target="../ctrlProps/ctrlProp187.xml"/><Relationship Id="rId4" Type="http://schemas.openxmlformats.org/officeDocument/2006/relationships/ctrlProp" Target="../ctrlProps/ctrlProp172.xml"/><Relationship Id="rId9" Type="http://schemas.openxmlformats.org/officeDocument/2006/relationships/ctrlProp" Target="../ctrlProps/ctrlProp177.xml"/><Relationship Id="rId14" Type="http://schemas.openxmlformats.org/officeDocument/2006/relationships/ctrlProp" Target="../ctrlProps/ctrlProp1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4D2DA-9115-4719-B7D4-CA8C78AFBB64}">
  <sheetPr codeName="Sheet14"/>
  <dimension ref="B2:O41"/>
  <sheetViews>
    <sheetView tabSelected="1" zoomScale="85" zoomScaleNormal="85" workbookViewId="0">
      <selection activeCell="F6" sqref="F6"/>
    </sheetView>
  </sheetViews>
  <sheetFormatPr defaultRowHeight="14.25" x14ac:dyDescent="0.45"/>
  <cols>
    <col min="2" max="3" width="3.59765625" customWidth="1"/>
    <col min="4" max="4" width="31.86328125" bestFit="1" customWidth="1"/>
    <col min="6" max="6" width="21.73046875" customWidth="1"/>
    <col min="7" max="7" width="3.59765625" customWidth="1"/>
    <col min="8" max="8" width="16.59765625" customWidth="1"/>
    <col min="9" max="9" width="3.59765625" customWidth="1"/>
    <col min="10" max="14" width="15.59765625" customWidth="1"/>
    <col min="15" max="15" width="3.59765625" customWidth="1"/>
  </cols>
  <sheetData>
    <row r="2" spans="2:15" x14ac:dyDescent="0.4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ht="50.65" customHeight="1" thickBot="1" x14ac:dyDescent="0.7">
      <c r="B3" s="12"/>
      <c r="C3" s="23" t="s">
        <v>0</v>
      </c>
      <c r="D3" s="23"/>
      <c r="E3" s="23"/>
      <c r="F3" s="23"/>
      <c r="G3" s="12"/>
      <c r="H3" s="20" t="s">
        <v>28</v>
      </c>
      <c r="I3" s="12"/>
      <c r="J3" s="21" t="s">
        <v>13</v>
      </c>
      <c r="K3" s="22" t="s">
        <v>24</v>
      </c>
      <c r="L3" s="22" t="s">
        <v>27</v>
      </c>
      <c r="M3" s="22" t="s">
        <v>25</v>
      </c>
      <c r="N3" s="22" t="s">
        <v>26</v>
      </c>
      <c r="O3" s="12"/>
    </row>
    <row r="4" spans="2:15" ht="15" thickTop="1" thickBot="1" x14ac:dyDescent="0.5">
      <c r="B4" s="12"/>
      <c r="C4" s="13"/>
      <c r="D4" s="13"/>
      <c r="E4" s="13"/>
      <c r="F4" s="13"/>
      <c r="G4" s="12"/>
      <c r="H4" s="13"/>
      <c r="I4" s="12"/>
      <c r="J4" s="18">
        <f>(E33*0.5 + 1.5)/100</f>
        <v>0.03</v>
      </c>
      <c r="K4" s="19">
        <f>F22</f>
        <v>1429.0990215361649</v>
      </c>
      <c r="L4" s="18">
        <f>F41</f>
        <v>0.23818317025602745</v>
      </c>
      <c r="M4" s="19">
        <f>F39</f>
        <v>171491.88258433979</v>
      </c>
      <c r="N4" s="19">
        <f>F40</f>
        <v>23491.882584339794</v>
      </c>
      <c r="O4" s="12"/>
    </row>
    <row r="5" spans="2:15" ht="14.65" thickBot="1" x14ac:dyDescent="0.5">
      <c r="B5" s="12"/>
      <c r="C5" s="13"/>
      <c r="D5" s="14" t="s">
        <v>1</v>
      </c>
      <c r="E5" s="13"/>
      <c r="F5" s="15">
        <v>250000</v>
      </c>
      <c r="G5" s="12"/>
      <c r="H5" s="13"/>
      <c r="I5" s="12"/>
      <c r="J5" s="18">
        <f>J4+0.01</f>
        <v>0.04</v>
      </c>
      <c r="K5" s="19">
        <f t="dataTable" ref="K5:N9" dt2D="0" dtr="0" r1="F33"/>
        <v>1498.428044840246</v>
      </c>
      <c r="L5" s="18">
        <v>0.24973800747337432</v>
      </c>
      <c r="M5" s="19">
        <v>179811.36538082952</v>
      </c>
      <c r="N5" s="19">
        <v>31811.36538082952</v>
      </c>
      <c r="O5" s="12"/>
    </row>
    <row r="6" spans="2:15" ht="14.65" thickBot="1" x14ac:dyDescent="0.5">
      <c r="B6" s="12"/>
      <c r="C6" s="13"/>
      <c r="D6" s="13"/>
      <c r="E6" s="13"/>
      <c r="F6" s="13"/>
      <c r="G6" s="12"/>
      <c r="H6" s="13"/>
      <c r="I6" s="12"/>
      <c r="J6" s="18">
        <f t="shared" ref="J6:J9" si="0">J5+0.01</f>
        <v>0.05</v>
      </c>
      <c r="K6" s="19">
        <v>1569.7696255383134</v>
      </c>
      <c r="L6" s="18">
        <v>0.26162827092305224</v>
      </c>
      <c r="M6" s="19">
        <v>188372.35506459762</v>
      </c>
      <c r="N6" s="19">
        <v>40372.355064597621</v>
      </c>
      <c r="O6" s="12"/>
    </row>
    <row r="7" spans="2:15" ht="14.65" thickBot="1" x14ac:dyDescent="0.5">
      <c r="B7" s="12"/>
      <c r="C7" s="13"/>
      <c r="D7" s="14" t="s">
        <v>2</v>
      </c>
      <c r="E7" s="13"/>
      <c r="F7" s="15">
        <v>65000</v>
      </c>
      <c r="G7" s="12"/>
      <c r="H7" s="13"/>
      <c r="I7" s="12"/>
      <c r="J7" s="18">
        <f t="shared" si="0"/>
        <v>6.0000000000000005E-2</v>
      </c>
      <c r="K7" s="19">
        <v>1643.1034287364118</v>
      </c>
      <c r="L7" s="18">
        <v>0.27385057145606861</v>
      </c>
      <c r="M7" s="19">
        <v>197172.41144836944</v>
      </c>
      <c r="N7" s="19">
        <v>49172.411448369443</v>
      </c>
      <c r="O7" s="12"/>
    </row>
    <row r="8" spans="2:15" ht="14.65" thickBot="1" x14ac:dyDescent="0.5">
      <c r="B8" s="12"/>
      <c r="C8" s="13"/>
      <c r="D8" s="13"/>
      <c r="E8" s="13"/>
      <c r="F8" s="13"/>
      <c r="G8" s="12"/>
      <c r="H8" s="13"/>
      <c r="I8" s="12"/>
      <c r="J8" s="18">
        <f t="shared" si="0"/>
        <v>7.0000000000000007E-2</v>
      </c>
      <c r="K8" s="19">
        <v>1718.405492435636</v>
      </c>
      <c r="L8" s="18">
        <v>0.28640091540593932</v>
      </c>
      <c r="M8" s="19">
        <v>206208.6590922763</v>
      </c>
      <c r="N8" s="19">
        <v>58208.659092276299</v>
      </c>
      <c r="O8" s="12"/>
    </row>
    <row r="9" spans="2:15" ht="14.65" thickBot="1" x14ac:dyDescent="0.5">
      <c r="B9" s="12"/>
      <c r="C9" s="13"/>
      <c r="D9" s="14" t="s">
        <v>3</v>
      </c>
      <c r="E9" s="13"/>
      <c r="F9" s="16">
        <f>F5-F7</f>
        <v>185000</v>
      </c>
      <c r="G9" s="12"/>
      <c r="H9" s="13"/>
      <c r="I9" s="12"/>
      <c r="J9" s="18">
        <f t="shared" si="0"/>
        <v>0.08</v>
      </c>
      <c r="K9" s="19">
        <v>1795.6483964592826</v>
      </c>
      <c r="L9" s="18">
        <v>0.29927473274321376</v>
      </c>
      <c r="M9" s="19">
        <v>215477.8075751139</v>
      </c>
      <c r="N9" s="19">
        <v>67477.807575113897</v>
      </c>
      <c r="O9" s="12"/>
    </row>
    <row r="10" spans="2:15" x14ac:dyDescent="0.45">
      <c r="B10" s="12"/>
      <c r="C10" s="13"/>
      <c r="D10" s="13"/>
      <c r="E10" s="13"/>
      <c r="F10" s="13"/>
      <c r="G10" s="12"/>
      <c r="H10" s="13"/>
      <c r="I10" s="12"/>
      <c r="J10" s="17"/>
      <c r="K10" s="17"/>
      <c r="L10" s="17"/>
      <c r="M10" s="17"/>
      <c r="N10" s="17"/>
      <c r="O10" s="12"/>
    </row>
    <row r="11" spans="2:15" x14ac:dyDescent="0.45">
      <c r="B11" s="12"/>
      <c r="C11" s="13"/>
      <c r="D11" s="24"/>
      <c r="E11" s="24"/>
      <c r="F11" s="24"/>
      <c r="G11" s="12"/>
      <c r="H11" s="13"/>
      <c r="I11" s="12"/>
      <c r="J11" s="13"/>
      <c r="K11" s="13"/>
      <c r="L11" s="13"/>
      <c r="M11" s="13"/>
      <c r="N11" s="13"/>
      <c r="O11" s="12"/>
    </row>
    <row r="12" spans="2:15" x14ac:dyDescent="0.45">
      <c r="B12" s="12"/>
      <c r="C12" s="13"/>
      <c r="D12" s="24"/>
      <c r="E12" s="24"/>
      <c r="F12" s="24"/>
      <c r="G12" s="12"/>
      <c r="H12" s="13"/>
      <c r="I12" s="12"/>
      <c r="J12" s="13"/>
      <c r="K12" s="13"/>
      <c r="L12" s="13"/>
      <c r="M12" s="13"/>
      <c r="N12" s="13"/>
      <c r="O12" s="12"/>
    </row>
    <row r="13" spans="2:15" ht="14.65" thickBot="1" x14ac:dyDescent="0.5">
      <c r="B13" s="12"/>
      <c r="C13" s="13"/>
      <c r="D13" s="13"/>
      <c r="E13" s="13"/>
      <c r="F13" s="13"/>
      <c r="G13" s="12"/>
      <c r="H13" s="13"/>
      <c r="I13" s="12"/>
      <c r="J13" s="13"/>
      <c r="K13" s="13"/>
      <c r="L13" s="13"/>
      <c r="M13" s="13"/>
      <c r="N13" s="13"/>
      <c r="O13" s="12"/>
    </row>
    <row r="14" spans="2:15" ht="14.65" thickBot="1" x14ac:dyDescent="0.5">
      <c r="B14" s="12"/>
      <c r="C14" s="13"/>
      <c r="D14" s="14" t="s">
        <v>5</v>
      </c>
      <c r="E14" s="13"/>
      <c r="F14" s="16">
        <f>F37</f>
        <v>148000</v>
      </c>
      <c r="G14" s="12"/>
      <c r="H14" s="13"/>
      <c r="I14" s="12"/>
      <c r="J14" s="13"/>
      <c r="K14" s="13"/>
      <c r="L14" s="13"/>
      <c r="M14" s="13"/>
      <c r="N14" s="13"/>
      <c r="O14" s="12"/>
    </row>
    <row r="15" spans="2:15" x14ac:dyDescent="0.45">
      <c r="B15" s="12"/>
      <c r="C15" s="13"/>
      <c r="D15" s="14"/>
      <c r="E15" s="13"/>
      <c r="F15" s="13"/>
      <c r="G15" s="12"/>
      <c r="H15" s="13"/>
      <c r="I15" s="12"/>
      <c r="J15" s="13"/>
      <c r="K15" s="13"/>
      <c r="L15" s="13"/>
      <c r="M15" s="13"/>
      <c r="N15" s="13"/>
      <c r="O15" s="12"/>
    </row>
    <row r="16" spans="2:15" x14ac:dyDescent="0.45">
      <c r="B16" s="12"/>
      <c r="C16" s="13"/>
      <c r="D16" s="24"/>
      <c r="E16" s="24"/>
      <c r="F16" s="24"/>
      <c r="G16" s="12"/>
      <c r="H16" s="13"/>
      <c r="I16" s="12"/>
      <c r="J16" s="13"/>
      <c r="K16" s="13"/>
      <c r="L16" s="13"/>
      <c r="M16" s="13"/>
      <c r="N16" s="13"/>
      <c r="O16" s="12"/>
    </row>
    <row r="17" spans="2:15" x14ac:dyDescent="0.45">
      <c r="B17" s="12"/>
      <c r="C17" s="13"/>
      <c r="D17" s="24"/>
      <c r="E17" s="24"/>
      <c r="F17" s="24"/>
      <c r="G17" s="12"/>
      <c r="H17" s="13"/>
      <c r="I17" s="12"/>
      <c r="J17" s="13"/>
      <c r="K17" s="13"/>
      <c r="L17" s="13"/>
      <c r="M17" s="13"/>
      <c r="N17" s="13"/>
      <c r="O17" s="12"/>
    </row>
    <row r="18" spans="2:15" x14ac:dyDescent="0.45">
      <c r="B18" s="12"/>
      <c r="C18" s="13"/>
      <c r="D18" s="24"/>
      <c r="E18" s="24"/>
      <c r="F18" s="24"/>
      <c r="G18" s="12"/>
      <c r="H18" s="13"/>
      <c r="I18" s="12"/>
      <c r="J18" s="13"/>
      <c r="K18" s="13"/>
      <c r="L18" s="13"/>
      <c r="M18" s="13"/>
      <c r="N18" s="13"/>
      <c r="O18" s="12"/>
    </row>
    <row r="19" spans="2:15" x14ac:dyDescent="0.45">
      <c r="B19" s="12"/>
      <c r="C19" s="13"/>
      <c r="D19" s="13"/>
      <c r="E19" s="13"/>
      <c r="F19" s="13"/>
      <c r="G19" s="12"/>
      <c r="H19" s="13"/>
      <c r="I19" s="12"/>
      <c r="J19" s="13"/>
      <c r="K19" s="13"/>
      <c r="L19" s="13"/>
      <c r="M19" s="13"/>
      <c r="N19" s="13"/>
      <c r="O19" s="12"/>
    </row>
    <row r="20" spans="2:15" x14ac:dyDescent="0.45">
      <c r="B20" s="12"/>
      <c r="C20" s="13"/>
      <c r="D20" s="14" t="s">
        <v>7</v>
      </c>
      <c r="E20" s="13"/>
      <c r="F20" s="13"/>
      <c r="G20" s="12"/>
      <c r="H20" s="13"/>
      <c r="I20" s="12"/>
      <c r="J20" s="13"/>
      <c r="K20" s="13"/>
      <c r="L20" s="13"/>
      <c r="M20" s="13"/>
      <c r="N20" s="13"/>
      <c r="O20" s="12"/>
    </row>
    <row r="21" spans="2:15" ht="14.65" thickBot="1" x14ac:dyDescent="0.5">
      <c r="B21" s="12"/>
      <c r="C21" s="13"/>
      <c r="D21" s="13"/>
      <c r="E21" s="13"/>
      <c r="F21" s="13"/>
      <c r="G21" s="12"/>
      <c r="H21" s="13"/>
      <c r="I21" s="12"/>
      <c r="J21" s="13"/>
      <c r="K21" s="13"/>
      <c r="L21" s="13"/>
      <c r="M21" s="13"/>
      <c r="N21" s="13"/>
      <c r="O21" s="12"/>
    </row>
    <row r="22" spans="2:15" ht="14.65" thickBot="1" x14ac:dyDescent="0.5">
      <c r="B22" s="12"/>
      <c r="C22" s="13"/>
      <c r="D22" s="14" t="s">
        <v>8</v>
      </c>
      <c r="E22" s="13"/>
      <c r="F22" s="16">
        <f>F38</f>
        <v>1429.0990215361649</v>
      </c>
      <c r="G22" s="12"/>
      <c r="H22" s="13"/>
      <c r="I22" s="12"/>
      <c r="J22" s="13"/>
      <c r="K22" s="13"/>
      <c r="L22" s="13"/>
      <c r="M22" s="13"/>
      <c r="N22" s="13"/>
      <c r="O22" s="12"/>
    </row>
    <row r="23" spans="2:15" ht="14.65" thickBot="1" x14ac:dyDescent="0.5">
      <c r="B23" s="12"/>
      <c r="C23" s="13"/>
      <c r="D23" s="13"/>
      <c r="E23" s="13"/>
      <c r="F23" s="13"/>
      <c r="G23" s="12"/>
      <c r="H23" s="13"/>
      <c r="I23" s="12"/>
      <c r="J23" s="13"/>
      <c r="K23" s="13"/>
      <c r="L23" s="13"/>
      <c r="M23" s="13"/>
      <c r="N23" s="13"/>
      <c r="O23" s="12"/>
    </row>
    <row r="24" spans="2:15" ht="14.65" thickBot="1" x14ac:dyDescent="0.5">
      <c r="B24" s="12"/>
      <c r="C24" s="13"/>
      <c r="D24" s="14" t="s">
        <v>9</v>
      </c>
      <c r="E24" s="13"/>
      <c r="F24" s="15">
        <v>72000</v>
      </c>
      <c r="G24" s="12"/>
      <c r="H24" s="13"/>
      <c r="I24" s="12"/>
      <c r="J24" s="13"/>
      <c r="K24" s="13"/>
      <c r="L24" s="13"/>
      <c r="M24" s="13"/>
      <c r="N24" s="13"/>
      <c r="O24" s="12"/>
    </row>
    <row r="25" spans="2:15" x14ac:dyDescent="0.45">
      <c r="B25" s="12"/>
      <c r="C25" s="13"/>
      <c r="D25" s="13"/>
      <c r="E25" s="13"/>
      <c r="F25" s="13"/>
      <c r="G25" s="12"/>
      <c r="H25" s="13"/>
      <c r="I25" s="12"/>
      <c r="J25" s="13"/>
      <c r="K25" s="13"/>
      <c r="L25" s="13"/>
      <c r="M25" s="13"/>
      <c r="N25" s="13"/>
      <c r="O25" s="12"/>
    </row>
    <row r="26" spans="2:15" x14ac:dyDescent="0.45"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</row>
    <row r="27" spans="2:15" hidden="1" x14ac:dyDescent="0.45">
      <c r="D27" s="3" t="s">
        <v>10</v>
      </c>
      <c r="E27" s="3" t="s">
        <v>20</v>
      </c>
      <c r="F27" s="3" t="s">
        <v>21</v>
      </c>
    </row>
    <row r="28" spans="2:15" hidden="1" x14ac:dyDescent="0.45">
      <c r="D28" s="1" t="s">
        <v>1</v>
      </c>
      <c r="F28" s="8">
        <f>F5</f>
        <v>250000</v>
      </c>
    </row>
    <row r="29" spans="2:15" hidden="1" x14ac:dyDescent="0.45">
      <c r="D29" s="1" t="s">
        <v>11</v>
      </c>
      <c r="F29" s="8">
        <f>F7</f>
        <v>65000</v>
      </c>
    </row>
    <row r="30" spans="2:15" hidden="1" x14ac:dyDescent="0.45">
      <c r="D30" s="1" t="s">
        <v>4</v>
      </c>
      <c r="E30" s="11">
        <v>4</v>
      </c>
      <c r="F30" s="5">
        <f>E30*5%</f>
        <v>0.2</v>
      </c>
    </row>
    <row r="31" spans="2:15" hidden="1" x14ac:dyDescent="0.45">
      <c r="D31" s="1" t="s">
        <v>12</v>
      </c>
      <c r="E31" s="11">
        <v>2</v>
      </c>
      <c r="F31">
        <f>E31*5</f>
        <v>10</v>
      </c>
    </row>
    <row r="32" spans="2:15" hidden="1" x14ac:dyDescent="0.45">
      <c r="D32" s="1" t="s">
        <v>23</v>
      </c>
      <c r="F32" s="11" t="b">
        <v>0</v>
      </c>
    </row>
    <row r="33" spans="4:6" hidden="1" x14ac:dyDescent="0.45">
      <c r="D33" s="1" t="s">
        <v>13</v>
      </c>
      <c r="E33" s="11">
        <v>3</v>
      </c>
      <c r="F33" s="6">
        <f>(E33*0.5 + 1.5)/100</f>
        <v>0.03</v>
      </c>
    </row>
    <row r="34" spans="4:6" hidden="1" x14ac:dyDescent="0.45">
      <c r="D34" s="1" t="s">
        <v>14</v>
      </c>
      <c r="F34" s="8">
        <f>F24</f>
        <v>72000</v>
      </c>
    </row>
    <row r="35" spans="4:6" hidden="1" x14ac:dyDescent="0.45"/>
    <row r="36" spans="4:6" hidden="1" x14ac:dyDescent="0.45"/>
    <row r="37" spans="4:6" hidden="1" x14ac:dyDescent="0.45">
      <c r="D37" s="1" t="s">
        <v>15</v>
      </c>
      <c r="F37" s="8">
        <f>F9*(1-F30)</f>
        <v>148000</v>
      </c>
    </row>
    <row r="38" spans="4:6" hidden="1" x14ac:dyDescent="0.45">
      <c r="D38" s="1" t="s">
        <v>16</v>
      </c>
      <c r="F38" s="9">
        <f>-PMT(F33/12,F31*12,F37,IF(F32=TRUE,F37*-1,0))</f>
        <v>1429.0990215361649</v>
      </c>
    </row>
    <row r="39" spans="4:6" hidden="1" x14ac:dyDescent="0.45">
      <c r="D39" s="1" t="s">
        <v>17</v>
      </c>
      <c r="F39" s="8">
        <f>F38*F31*12</f>
        <v>171491.88258433979</v>
      </c>
    </row>
    <row r="40" spans="4:6" hidden="1" x14ac:dyDescent="0.45">
      <c r="D40" s="1" t="s">
        <v>18</v>
      </c>
      <c r="F40" s="8">
        <f>IF(F32,F39,F39-F37)</f>
        <v>23491.882584339794</v>
      </c>
    </row>
    <row r="41" spans="4:6" hidden="1" x14ac:dyDescent="0.45">
      <c r="D41" s="1" t="s">
        <v>19</v>
      </c>
      <c r="F41" s="6">
        <f>F38*12/F24</f>
        <v>0.23818317025602745</v>
      </c>
    </row>
  </sheetData>
  <sheetProtection sheet="1" objects="1" scenarios="1"/>
  <mergeCells count="3">
    <mergeCell ref="C3:F3"/>
    <mergeCell ref="D11:F12"/>
    <mergeCell ref="D16:F18"/>
  </mergeCells>
  <pageMargins left="0.7" right="0.7" top="0.75" bottom="0.75" header="0.3" footer="0.3"/>
  <pageSetup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Group Box 1">
              <controlPr defaultSize="0" autoFill="0" autoPict="0">
                <anchor moveWithCells="1">
                  <from>
                    <xdr:col>3</xdr:col>
                    <xdr:colOff>9525</xdr:colOff>
                    <xdr:row>10</xdr:row>
                    <xdr:rowOff>0</xdr:rowOff>
                  </from>
                  <to>
                    <xdr:col>5</xdr:col>
                    <xdr:colOff>1228725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Group Box 2">
              <controlPr defaultSize="0" autoFill="0" autoPict="0">
                <anchor moveWithCells="1">
                  <from>
                    <xdr:col>3</xdr:col>
                    <xdr:colOff>9525</xdr:colOff>
                    <xdr:row>14</xdr:row>
                    <xdr:rowOff>180975</xdr:rowOff>
                  </from>
                  <to>
                    <xdr:col>5</xdr:col>
                    <xdr:colOff>1228725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Option Button 3">
              <controlPr defaultSize="0" autoFill="0" autoLine="0" autoPict="0">
                <anchor moveWithCells="1">
                  <from>
                    <xdr:col>3</xdr:col>
                    <xdr:colOff>114300</xdr:colOff>
                    <xdr:row>10</xdr:row>
                    <xdr:rowOff>66675</xdr:rowOff>
                  </from>
                  <to>
                    <xdr:col>3</xdr:col>
                    <xdr:colOff>609600</xdr:colOff>
                    <xdr:row>11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7" name="Option Button 4">
              <controlPr defaultSize="0" autoFill="0" autoLine="0" autoPict="0">
                <anchor moveWithCells="1">
                  <from>
                    <xdr:col>3</xdr:col>
                    <xdr:colOff>800100</xdr:colOff>
                    <xdr:row>10</xdr:row>
                    <xdr:rowOff>66675</xdr:rowOff>
                  </from>
                  <to>
                    <xdr:col>3</xdr:col>
                    <xdr:colOff>1314450</xdr:colOff>
                    <xdr:row>11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8" name="Option Button 5">
              <controlPr defaultSize="0" autoFill="0" autoLine="0" autoPict="0">
                <anchor moveWithCells="1">
                  <from>
                    <xdr:col>3</xdr:col>
                    <xdr:colOff>1495425</xdr:colOff>
                    <xdr:row>10</xdr:row>
                    <xdr:rowOff>76200</xdr:rowOff>
                  </from>
                  <to>
                    <xdr:col>3</xdr:col>
                    <xdr:colOff>1971675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9" name="Option Button 6">
              <controlPr defaultSize="0" autoFill="0" autoLine="0" autoPict="0">
                <anchor moveWithCells="1">
                  <from>
                    <xdr:col>4</xdr:col>
                    <xdr:colOff>28575</xdr:colOff>
                    <xdr:row>10</xdr:row>
                    <xdr:rowOff>76200</xdr:rowOff>
                  </from>
                  <to>
                    <xdr:col>4</xdr:col>
                    <xdr:colOff>514350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10" name="Option Button 7">
              <controlPr defaultSize="0" autoFill="0" autoLine="0" autoPict="0">
                <anchor moveWithCells="1">
                  <from>
                    <xdr:col>5</xdr:col>
                    <xdr:colOff>85725</xdr:colOff>
                    <xdr:row>10</xdr:row>
                    <xdr:rowOff>85725</xdr:rowOff>
                  </from>
                  <to>
                    <xdr:col>5</xdr:col>
                    <xdr:colOff>552450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1" name="Option Button 8">
              <controlPr defaultSize="0" autoFill="0" autoLine="0" autoPict="0">
                <anchor moveWithCells="1">
                  <from>
                    <xdr:col>5</xdr:col>
                    <xdr:colOff>742950</xdr:colOff>
                    <xdr:row>10</xdr:row>
                    <xdr:rowOff>85725</xdr:rowOff>
                  </from>
                  <to>
                    <xdr:col>5</xdr:col>
                    <xdr:colOff>1195388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2" name="Option Button 9">
              <controlPr defaultSize="0" autoFill="0" autoLine="0" autoPict="0">
                <anchor moveWithCells="1">
                  <from>
                    <xdr:col>3</xdr:col>
                    <xdr:colOff>447675</xdr:colOff>
                    <xdr:row>15</xdr:row>
                    <xdr:rowOff>95250</xdr:rowOff>
                  </from>
                  <to>
                    <xdr:col>3</xdr:col>
                    <xdr:colOff>1085850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3" name="Option Button 10">
              <controlPr defaultSize="0" autoFill="0" autoLine="0" autoPict="0">
                <anchor moveWithCells="1">
                  <from>
                    <xdr:col>3</xdr:col>
                    <xdr:colOff>1514475</xdr:colOff>
                    <xdr:row>15</xdr:row>
                    <xdr:rowOff>85725</xdr:rowOff>
                  </from>
                  <to>
                    <xdr:col>4</xdr:col>
                    <xdr:colOff>28575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4" name="Option Button 11">
              <controlPr defaultSize="0" autoFill="0" autoLine="0" autoPict="0">
                <anchor moveWithCells="1">
                  <from>
                    <xdr:col>5</xdr:col>
                    <xdr:colOff>180975</xdr:colOff>
                    <xdr:row>15</xdr:row>
                    <xdr:rowOff>85725</xdr:rowOff>
                  </from>
                  <to>
                    <xdr:col>5</xdr:col>
                    <xdr:colOff>819150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8" r:id="rId15" name="Option Button 12">
              <controlPr defaultSize="0" autoFill="0" autoLine="0" autoPict="0">
                <anchor moveWithCells="1">
                  <from>
                    <xdr:col>3</xdr:col>
                    <xdr:colOff>447675</xdr:colOff>
                    <xdr:row>16</xdr:row>
                    <xdr:rowOff>104775</xdr:rowOff>
                  </from>
                  <to>
                    <xdr:col>3</xdr:col>
                    <xdr:colOff>1085850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9" r:id="rId16" name="Option Button 13">
              <controlPr defaultSize="0" autoFill="0" autoLine="0" autoPict="0">
                <anchor moveWithCells="1">
                  <from>
                    <xdr:col>3</xdr:col>
                    <xdr:colOff>1514475</xdr:colOff>
                    <xdr:row>16</xdr:row>
                    <xdr:rowOff>104775</xdr:rowOff>
                  </from>
                  <to>
                    <xdr:col>4</xdr:col>
                    <xdr:colOff>28575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0" r:id="rId17" name="Option Button 14">
              <controlPr defaultSize="0" autoFill="0" autoLine="0" autoPict="0">
                <anchor moveWithCells="1">
                  <from>
                    <xdr:col>5</xdr:col>
                    <xdr:colOff>180975</xdr:colOff>
                    <xdr:row>16</xdr:row>
                    <xdr:rowOff>104775</xdr:rowOff>
                  </from>
                  <to>
                    <xdr:col>5</xdr:col>
                    <xdr:colOff>819150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1" r:id="rId18" name="Drop Down 15">
              <controlPr defaultSize="0" autoLine="0" autoPict="0">
                <anchor moveWithCells="1">
                  <from>
                    <xdr:col>3</xdr:col>
                    <xdr:colOff>619125</xdr:colOff>
                    <xdr:row>19</xdr:row>
                    <xdr:rowOff>0</xdr:rowOff>
                  </from>
                  <to>
                    <xdr:col>3</xdr:col>
                    <xdr:colOff>2052638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2" r:id="rId19" name="Check Box 16">
              <controlPr defaultSize="0" autoFill="0" autoLine="0" autoPict="0">
                <anchor moveWithCells="1">
                  <from>
                    <xdr:col>4</xdr:col>
                    <xdr:colOff>600075</xdr:colOff>
                    <xdr:row>18</xdr:row>
                    <xdr:rowOff>171450</xdr:rowOff>
                  </from>
                  <to>
                    <xdr:col>5</xdr:col>
                    <xdr:colOff>1290638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1C975-B58F-455D-B8F0-F5A224036F6B}">
  <sheetPr codeName="Sheet4"/>
  <dimension ref="A1:D38"/>
  <sheetViews>
    <sheetView workbookViewId="0">
      <selection sqref="A1:D1"/>
    </sheetView>
  </sheetViews>
  <sheetFormatPr defaultRowHeight="14.25" x14ac:dyDescent="0.45"/>
  <cols>
    <col min="2" max="2" width="31.86328125" bestFit="1" customWidth="1"/>
    <col min="4" max="4" width="21.73046875" customWidth="1"/>
  </cols>
  <sheetData>
    <row r="1" spans="1:4" ht="35.25" customHeight="1" x14ac:dyDescent="0.7">
      <c r="A1" s="25" t="s">
        <v>0</v>
      </c>
      <c r="B1" s="25"/>
      <c r="C1" s="25"/>
      <c r="D1" s="25"/>
    </row>
    <row r="2" spans="1:4" ht="14.65" thickBot="1" x14ac:dyDescent="0.5"/>
    <row r="3" spans="1:4" ht="14.65" thickBot="1" x14ac:dyDescent="0.5">
      <c r="B3" s="2" t="s">
        <v>1</v>
      </c>
      <c r="D3" s="4"/>
    </row>
    <row r="4" spans="1:4" ht="14.65" thickBot="1" x14ac:dyDescent="0.5"/>
    <row r="5" spans="1:4" ht="14.65" thickBot="1" x14ac:dyDescent="0.5">
      <c r="B5" s="2" t="s">
        <v>2</v>
      </c>
      <c r="D5" s="4"/>
    </row>
    <row r="6" spans="1:4" ht="14.65" thickBot="1" x14ac:dyDescent="0.5"/>
    <row r="7" spans="1:4" ht="14.65" thickBot="1" x14ac:dyDescent="0.5">
      <c r="B7" s="2" t="s">
        <v>3</v>
      </c>
      <c r="D7" s="4"/>
    </row>
    <row r="8" spans="1:4" ht="14.65" thickBot="1" x14ac:dyDescent="0.5"/>
    <row r="9" spans="1:4" ht="14.65" thickBot="1" x14ac:dyDescent="0.5">
      <c r="B9" s="2" t="s">
        <v>4</v>
      </c>
      <c r="D9" s="4"/>
    </row>
    <row r="11" spans="1:4" ht="14.65" thickBot="1" x14ac:dyDescent="0.5"/>
    <row r="12" spans="1:4" ht="14.65" thickBot="1" x14ac:dyDescent="0.5">
      <c r="B12" s="2" t="s">
        <v>5</v>
      </c>
      <c r="D12" s="4"/>
    </row>
    <row r="13" spans="1:4" ht="14.65" thickBot="1" x14ac:dyDescent="0.5"/>
    <row r="14" spans="1:4" ht="14.65" thickBot="1" x14ac:dyDescent="0.5">
      <c r="B14" s="2" t="s">
        <v>6</v>
      </c>
      <c r="D14" s="4"/>
    </row>
    <row r="17" spans="2:4" ht="14.65" thickBot="1" x14ac:dyDescent="0.5"/>
    <row r="18" spans="2:4" ht="14.65" thickBot="1" x14ac:dyDescent="0.5">
      <c r="B18" s="2" t="s">
        <v>7</v>
      </c>
      <c r="D18" s="4"/>
    </row>
    <row r="19" spans="2:4" ht="14.65" thickBot="1" x14ac:dyDescent="0.5"/>
    <row r="20" spans="2:4" ht="14.65" thickBot="1" x14ac:dyDescent="0.5">
      <c r="B20" s="2" t="s">
        <v>8</v>
      </c>
      <c r="D20" s="4"/>
    </row>
    <row r="21" spans="2:4" ht="14.65" thickBot="1" x14ac:dyDescent="0.5"/>
    <row r="22" spans="2:4" ht="14.65" thickBot="1" x14ac:dyDescent="0.5">
      <c r="B22" s="2" t="s">
        <v>9</v>
      </c>
      <c r="D22" s="4"/>
    </row>
    <row r="25" spans="2:4" x14ac:dyDescent="0.45">
      <c r="B25" s="3" t="s">
        <v>10</v>
      </c>
      <c r="C25" s="3" t="s">
        <v>20</v>
      </c>
      <c r="D25" s="3" t="s">
        <v>21</v>
      </c>
    </row>
    <row r="26" spans="2:4" x14ac:dyDescent="0.45">
      <c r="B26" s="1" t="s">
        <v>1</v>
      </c>
    </row>
    <row r="27" spans="2:4" x14ac:dyDescent="0.45">
      <c r="B27" s="1" t="s">
        <v>11</v>
      </c>
    </row>
    <row r="28" spans="2:4" x14ac:dyDescent="0.45">
      <c r="B28" s="1" t="s">
        <v>4</v>
      </c>
    </row>
    <row r="29" spans="2:4" x14ac:dyDescent="0.45">
      <c r="B29" s="1" t="s">
        <v>12</v>
      </c>
    </row>
    <row r="30" spans="2:4" x14ac:dyDescent="0.45">
      <c r="B30" s="1" t="s">
        <v>13</v>
      </c>
    </row>
    <row r="31" spans="2:4" x14ac:dyDescent="0.45">
      <c r="B31" s="1" t="s">
        <v>14</v>
      </c>
    </row>
    <row r="34" spans="2:2" x14ac:dyDescent="0.45">
      <c r="B34" s="1" t="s">
        <v>15</v>
      </c>
    </row>
    <row r="35" spans="2:2" x14ac:dyDescent="0.45">
      <c r="B35" s="1" t="s">
        <v>16</v>
      </c>
    </row>
    <row r="36" spans="2:2" x14ac:dyDescent="0.45">
      <c r="B36" s="1" t="s">
        <v>17</v>
      </c>
    </row>
    <row r="37" spans="2:2" x14ac:dyDescent="0.45">
      <c r="B37" s="1" t="s">
        <v>18</v>
      </c>
    </row>
    <row r="38" spans="2:2" x14ac:dyDescent="0.45">
      <c r="B38" s="1" t="s">
        <v>19</v>
      </c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2A601-3651-48C7-8FCA-AF7F061F5322}">
  <sheetPr codeName="Sheet5"/>
  <dimension ref="A1:D38"/>
  <sheetViews>
    <sheetView workbookViewId="0">
      <selection activeCell="G12" sqref="G12"/>
    </sheetView>
  </sheetViews>
  <sheetFormatPr defaultRowHeight="14.25" x14ac:dyDescent="0.45"/>
  <cols>
    <col min="2" max="2" width="31.86328125" bestFit="1" customWidth="1"/>
    <col min="4" max="4" width="21.73046875" customWidth="1"/>
  </cols>
  <sheetData>
    <row r="1" spans="1:4" ht="35.25" customHeight="1" x14ac:dyDescent="0.7">
      <c r="A1" s="25" t="s">
        <v>0</v>
      </c>
      <c r="B1" s="25"/>
      <c r="C1" s="25"/>
      <c r="D1" s="25"/>
    </row>
    <row r="2" spans="1:4" ht="14.65" thickBot="1" x14ac:dyDescent="0.5"/>
    <row r="3" spans="1:4" ht="14.65" thickBot="1" x14ac:dyDescent="0.5">
      <c r="B3" s="2" t="s">
        <v>1</v>
      </c>
      <c r="D3" s="4"/>
    </row>
    <row r="4" spans="1:4" ht="14.65" thickBot="1" x14ac:dyDescent="0.5"/>
    <row r="5" spans="1:4" ht="14.65" thickBot="1" x14ac:dyDescent="0.5">
      <c r="B5" s="2" t="s">
        <v>2</v>
      </c>
      <c r="D5" s="4"/>
    </row>
    <row r="6" spans="1:4" ht="14.65" thickBot="1" x14ac:dyDescent="0.5"/>
    <row r="7" spans="1:4" ht="14.65" thickBot="1" x14ac:dyDescent="0.5">
      <c r="B7" s="2" t="s">
        <v>3</v>
      </c>
      <c r="D7" s="4"/>
    </row>
    <row r="9" spans="1:4" x14ac:dyDescent="0.45">
      <c r="B9" s="26"/>
      <c r="C9" s="26"/>
      <c r="D9" s="26"/>
    </row>
    <row r="10" spans="1:4" x14ac:dyDescent="0.45">
      <c r="B10" s="26"/>
      <c r="C10" s="26"/>
      <c r="D10" s="26"/>
    </row>
    <row r="11" spans="1:4" ht="14.65" thickBot="1" x14ac:dyDescent="0.5"/>
    <row r="12" spans="1:4" ht="14.65" thickBot="1" x14ac:dyDescent="0.5">
      <c r="B12" s="2" t="s">
        <v>5</v>
      </c>
      <c r="D12" s="4"/>
    </row>
    <row r="13" spans="1:4" x14ac:dyDescent="0.45">
      <c r="B13" s="2"/>
    </row>
    <row r="14" spans="1:4" x14ac:dyDescent="0.45">
      <c r="B14" s="26"/>
      <c r="C14" s="26"/>
      <c r="D14" s="26"/>
    </row>
    <row r="15" spans="1:4" x14ac:dyDescent="0.45">
      <c r="B15" s="26"/>
      <c r="C15" s="26"/>
      <c r="D15" s="26"/>
    </row>
    <row r="16" spans="1:4" x14ac:dyDescent="0.45">
      <c r="B16" s="26"/>
      <c r="C16" s="26"/>
      <c r="D16" s="26"/>
    </row>
    <row r="17" spans="2:4" ht="14.65" thickBot="1" x14ac:dyDescent="0.5"/>
    <row r="18" spans="2:4" ht="14.65" thickBot="1" x14ac:dyDescent="0.5">
      <c r="B18" s="2" t="s">
        <v>7</v>
      </c>
      <c r="D18" s="4"/>
    </row>
    <row r="19" spans="2:4" ht="14.65" thickBot="1" x14ac:dyDescent="0.5"/>
    <row r="20" spans="2:4" ht="14.65" thickBot="1" x14ac:dyDescent="0.5">
      <c r="B20" s="2" t="s">
        <v>8</v>
      </c>
      <c r="D20" s="4"/>
    </row>
    <row r="21" spans="2:4" ht="14.65" thickBot="1" x14ac:dyDescent="0.5"/>
    <row r="22" spans="2:4" ht="14.65" thickBot="1" x14ac:dyDescent="0.5">
      <c r="B22" s="2" t="s">
        <v>9</v>
      </c>
      <c r="D22" s="4"/>
    </row>
    <row r="25" spans="2:4" x14ac:dyDescent="0.45">
      <c r="B25" s="3" t="s">
        <v>10</v>
      </c>
      <c r="C25" s="3" t="s">
        <v>20</v>
      </c>
      <c r="D25" s="3" t="s">
        <v>21</v>
      </c>
    </row>
    <row r="26" spans="2:4" x14ac:dyDescent="0.45">
      <c r="B26" s="1" t="s">
        <v>1</v>
      </c>
    </row>
    <row r="27" spans="2:4" x14ac:dyDescent="0.45">
      <c r="B27" s="1" t="s">
        <v>11</v>
      </c>
    </row>
    <row r="28" spans="2:4" x14ac:dyDescent="0.45">
      <c r="B28" s="1" t="s">
        <v>4</v>
      </c>
    </row>
    <row r="29" spans="2:4" x14ac:dyDescent="0.45">
      <c r="B29" s="1" t="s">
        <v>12</v>
      </c>
    </row>
    <row r="30" spans="2:4" x14ac:dyDescent="0.45">
      <c r="B30" s="1" t="s">
        <v>13</v>
      </c>
    </row>
    <row r="31" spans="2:4" x14ac:dyDescent="0.45">
      <c r="B31" s="1" t="s">
        <v>14</v>
      </c>
    </row>
    <row r="34" spans="2:2" x14ac:dyDescent="0.45">
      <c r="B34" s="1" t="s">
        <v>15</v>
      </c>
    </row>
    <row r="35" spans="2:2" x14ac:dyDescent="0.45">
      <c r="B35" s="1" t="s">
        <v>16</v>
      </c>
    </row>
    <row r="36" spans="2:2" x14ac:dyDescent="0.45">
      <c r="B36" s="1" t="s">
        <v>17</v>
      </c>
    </row>
    <row r="37" spans="2:2" x14ac:dyDescent="0.45">
      <c r="B37" s="1" t="s">
        <v>18</v>
      </c>
    </row>
    <row r="38" spans="2:2" x14ac:dyDescent="0.45">
      <c r="B38" s="1" t="s">
        <v>19</v>
      </c>
    </row>
  </sheetData>
  <mergeCells count="3">
    <mergeCell ref="A1:D1"/>
    <mergeCell ref="B9:D10"/>
    <mergeCell ref="B14:D16"/>
  </mergeCell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Group Box 2">
              <controlPr defaultSize="0" autoFill="0" autoPict="0">
                <anchor moveWithCells="1">
                  <from>
                    <xdr:col>1</xdr:col>
                    <xdr:colOff>9525</xdr:colOff>
                    <xdr:row>8</xdr:row>
                    <xdr:rowOff>0</xdr:rowOff>
                  </from>
                  <to>
                    <xdr:col>3</xdr:col>
                    <xdr:colOff>1228725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Group Box 3">
              <controlPr defaultSize="0" autoFill="0" autoPict="0">
                <anchor moveWithCells="1">
                  <from>
                    <xdr:col>1</xdr:col>
                    <xdr:colOff>9525</xdr:colOff>
                    <xdr:row>12</xdr:row>
                    <xdr:rowOff>180975</xdr:rowOff>
                  </from>
                  <to>
                    <xdr:col>3</xdr:col>
                    <xdr:colOff>1228725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Option Button 4">
              <controlPr defaultSize="0" autoFill="0" autoLine="0" autoPict="0">
                <anchor moveWithCells="1">
                  <from>
                    <xdr:col>1</xdr:col>
                    <xdr:colOff>114300</xdr:colOff>
                    <xdr:row>8</xdr:row>
                    <xdr:rowOff>66675</xdr:rowOff>
                  </from>
                  <to>
                    <xdr:col>1</xdr:col>
                    <xdr:colOff>609600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Option Button 5">
              <controlPr defaultSize="0" autoFill="0" autoLine="0" autoPict="0">
                <anchor moveWithCells="1">
                  <from>
                    <xdr:col>1</xdr:col>
                    <xdr:colOff>800100</xdr:colOff>
                    <xdr:row>8</xdr:row>
                    <xdr:rowOff>66675</xdr:rowOff>
                  </from>
                  <to>
                    <xdr:col>1</xdr:col>
                    <xdr:colOff>1314450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Option Button 6">
              <controlPr defaultSize="0" autoFill="0" autoLine="0" autoPict="0">
                <anchor moveWithCells="1">
                  <from>
                    <xdr:col>1</xdr:col>
                    <xdr:colOff>1495425</xdr:colOff>
                    <xdr:row>8</xdr:row>
                    <xdr:rowOff>76200</xdr:rowOff>
                  </from>
                  <to>
                    <xdr:col>1</xdr:col>
                    <xdr:colOff>1971675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Option Button 7">
              <controlPr defaultSize="0" autoFill="0" autoLine="0" autoPict="0">
                <anchor moveWithCells="1">
                  <from>
                    <xdr:col>2</xdr:col>
                    <xdr:colOff>28575</xdr:colOff>
                    <xdr:row>8</xdr:row>
                    <xdr:rowOff>76200</xdr:rowOff>
                  </from>
                  <to>
                    <xdr:col>2</xdr:col>
                    <xdr:colOff>514350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Option Button 8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85725</xdr:rowOff>
                  </from>
                  <to>
                    <xdr:col>3</xdr:col>
                    <xdr:colOff>552450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Option Button 9">
              <controlPr defaultSize="0" autoFill="0" autoLine="0" autoPict="0">
                <anchor moveWithCells="1">
                  <from>
                    <xdr:col>3</xdr:col>
                    <xdr:colOff>742950</xdr:colOff>
                    <xdr:row>8</xdr:row>
                    <xdr:rowOff>85725</xdr:rowOff>
                  </from>
                  <to>
                    <xdr:col>3</xdr:col>
                    <xdr:colOff>1190625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Option Button 10">
              <controlPr defaultSize="0" autoFill="0" autoLine="0" autoPict="0">
                <anchor moveWithCells="1">
                  <from>
                    <xdr:col>1</xdr:col>
                    <xdr:colOff>447675</xdr:colOff>
                    <xdr:row>13</xdr:row>
                    <xdr:rowOff>95250</xdr:rowOff>
                  </from>
                  <to>
                    <xdr:col>1</xdr:col>
                    <xdr:colOff>1085850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Option Button 11">
              <controlPr defaultSize="0" autoFill="0" autoLine="0" autoPict="0">
                <anchor moveWithCells="1">
                  <from>
                    <xdr:col>1</xdr:col>
                    <xdr:colOff>1514475</xdr:colOff>
                    <xdr:row>13</xdr:row>
                    <xdr:rowOff>85725</xdr:rowOff>
                  </from>
                  <to>
                    <xdr:col>2</xdr:col>
                    <xdr:colOff>28575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Option Button 12">
              <controlPr defaultSize="0" autoFill="0" autoLine="0" autoPict="0">
                <anchor moveWithCells="1">
                  <from>
                    <xdr:col>3</xdr:col>
                    <xdr:colOff>180975</xdr:colOff>
                    <xdr:row>13</xdr:row>
                    <xdr:rowOff>85725</xdr:rowOff>
                  </from>
                  <to>
                    <xdr:col>3</xdr:col>
                    <xdr:colOff>819150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Option Button 13">
              <controlPr defaultSize="0" autoFill="0" autoLine="0" autoPict="0">
                <anchor moveWithCells="1">
                  <from>
                    <xdr:col>3</xdr:col>
                    <xdr:colOff>180975</xdr:colOff>
                    <xdr:row>14</xdr:row>
                    <xdr:rowOff>95250</xdr:rowOff>
                  </from>
                  <to>
                    <xdr:col>3</xdr:col>
                    <xdr:colOff>819150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6" name="Option Button 14">
              <controlPr defaultSize="0" autoFill="0" autoLine="0" autoPict="0">
                <anchor moveWithCells="1">
                  <from>
                    <xdr:col>1</xdr:col>
                    <xdr:colOff>447675</xdr:colOff>
                    <xdr:row>14</xdr:row>
                    <xdr:rowOff>85725</xdr:rowOff>
                  </from>
                  <to>
                    <xdr:col>1</xdr:col>
                    <xdr:colOff>1085850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7" name="Option Button 15">
              <controlPr defaultSize="0" autoFill="0" autoLine="0" autoPict="0">
                <anchor moveWithCells="1">
                  <from>
                    <xdr:col>1</xdr:col>
                    <xdr:colOff>1514475</xdr:colOff>
                    <xdr:row>14</xdr:row>
                    <xdr:rowOff>104775</xdr:rowOff>
                  </from>
                  <to>
                    <xdr:col>2</xdr:col>
                    <xdr:colOff>28575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E5F9B-7C2B-486F-A652-D8DD06764529}">
  <sheetPr codeName="Sheet6"/>
  <dimension ref="A1:D38"/>
  <sheetViews>
    <sheetView topLeftCell="A20" workbookViewId="0">
      <selection activeCell="E3" sqref="E3"/>
    </sheetView>
  </sheetViews>
  <sheetFormatPr defaultRowHeight="14.25" x14ac:dyDescent="0.45"/>
  <cols>
    <col min="2" max="2" width="31.86328125" bestFit="1" customWidth="1"/>
    <col min="4" max="4" width="21.73046875" customWidth="1"/>
  </cols>
  <sheetData>
    <row r="1" spans="1:4" ht="35.25" customHeight="1" x14ac:dyDescent="0.7">
      <c r="A1" s="25" t="s">
        <v>0</v>
      </c>
      <c r="B1" s="25"/>
      <c r="C1" s="25"/>
      <c r="D1" s="25"/>
    </row>
    <row r="2" spans="1:4" ht="14.65" thickBot="1" x14ac:dyDescent="0.5"/>
    <row r="3" spans="1:4" ht="14.65" thickBot="1" x14ac:dyDescent="0.5">
      <c r="B3" s="2" t="s">
        <v>1</v>
      </c>
      <c r="D3" s="7">
        <v>250000</v>
      </c>
    </row>
    <row r="4" spans="1:4" ht="14.65" thickBot="1" x14ac:dyDescent="0.5"/>
    <row r="5" spans="1:4" ht="14.65" thickBot="1" x14ac:dyDescent="0.5">
      <c r="B5" s="2" t="s">
        <v>2</v>
      </c>
      <c r="D5" s="7">
        <v>65000</v>
      </c>
    </row>
    <row r="6" spans="1:4" ht="14.65" thickBot="1" x14ac:dyDescent="0.5"/>
    <row r="7" spans="1:4" ht="14.65" thickBot="1" x14ac:dyDescent="0.5">
      <c r="B7" s="2" t="s">
        <v>3</v>
      </c>
      <c r="D7" s="7">
        <f>D3-D5</f>
        <v>185000</v>
      </c>
    </row>
    <row r="9" spans="1:4" x14ac:dyDescent="0.45">
      <c r="B9" s="26"/>
      <c r="C9" s="26"/>
      <c r="D9" s="26"/>
    </row>
    <row r="10" spans="1:4" x14ac:dyDescent="0.45">
      <c r="B10" s="26"/>
      <c r="C10" s="26"/>
      <c r="D10" s="26"/>
    </row>
    <row r="11" spans="1:4" ht="14.65" thickBot="1" x14ac:dyDescent="0.5"/>
    <row r="12" spans="1:4" ht="14.65" thickBot="1" x14ac:dyDescent="0.5">
      <c r="B12" s="2" t="s">
        <v>5</v>
      </c>
      <c r="D12" s="7"/>
    </row>
    <row r="13" spans="1:4" x14ac:dyDescent="0.45">
      <c r="B13" s="2"/>
    </row>
    <row r="14" spans="1:4" x14ac:dyDescent="0.45">
      <c r="B14" s="26"/>
      <c r="C14" s="26"/>
      <c r="D14" s="26"/>
    </row>
    <row r="15" spans="1:4" x14ac:dyDescent="0.45">
      <c r="B15" s="26"/>
      <c r="C15" s="26"/>
      <c r="D15" s="26"/>
    </row>
    <row r="16" spans="1:4" x14ac:dyDescent="0.45">
      <c r="B16" s="26"/>
      <c r="C16" s="26"/>
      <c r="D16" s="26"/>
    </row>
    <row r="17" spans="2:4" ht="14.65" thickBot="1" x14ac:dyDescent="0.5"/>
    <row r="18" spans="2:4" ht="14.65" thickBot="1" x14ac:dyDescent="0.5">
      <c r="B18" s="2" t="s">
        <v>7</v>
      </c>
      <c r="D18" s="4"/>
    </row>
    <row r="19" spans="2:4" ht="14.65" thickBot="1" x14ac:dyDescent="0.5"/>
    <row r="20" spans="2:4" ht="14.65" thickBot="1" x14ac:dyDescent="0.5">
      <c r="B20" s="2" t="s">
        <v>8</v>
      </c>
      <c r="D20" s="7"/>
    </row>
    <row r="21" spans="2:4" ht="14.65" thickBot="1" x14ac:dyDescent="0.5"/>
    <row r="22" spans="2:4" ht="14.65" thickBot="1" x14ac:dyDescent="0.5">
      <c r="B22" s="2" t="s">
        <v>9</v>
      </c>
      <c r="D22" s="7">
        <v>72000</v>
      </c>
    </row>
    <row r="25" spans="2:4" x14ac:dyDescent="0.45">
      <c r="B25" s="3" t="s">
        <v>10</v>
      </c>
      <c r="C25" s="3" t="s">
        <v>20</v>
      </c>
      <c r="D25" s="3" t="s">
        <v>21</v>
      </c>
    </row>
    <row r="26" spans="2:4" x14ac:dyDescent="0.45">
      <c r="B26" s="1" t="s">
        <v>1</v>
      </c>
    </row>
    <row r="27" spans="2:4" x14ac:dyDescent="0.45">
      <c r="B27" s="1" t="s">
        <v>11</v>
      </c>
    </row>
    <row r="28" spans="2:4" x14ac:dyDescent="0.45">
      <c r="B28" s="1" t="s">
        <v>4</v>
      </c>
    </row>
    <row r="29" spans="2:4" x14ac:dyDescent="0.45">
      <c r="B29" s="1" t="s">
        <v>12</v>
      </c>
    </row>
    <row r="30" spans="2:4" x14ac:dyDescent="0.45">
      <c r="B30" s="1" t="s">
        <v>13</v>
      </c>
    </row>
    <row r="31" spans="2:4" x14ac:dyDescent="0.45">
      <c r="B31" s="1" t="s">
        <v>14</v>
      </c>
    </row>
    <row r="34" spans="2:2" x14ac:dyDescent="0.45">
      <c r="B34" s="1" t="s">
        <v>15</v>
      </c>
    </row>
    <row r="35" spans="2:2" x14ac:dyDescent="0.45">
      <c r="B35" s="1" t="s">
        <v>16</v>
      </c>
    </row>
    <row r="36" spans="2:2" x14ac:dyDescent="0.45">
      <c r="B36" s="1" t="s">
        <v>17</v>
      </c>
    </row>
    <row r="37" spans="2:2" x14ac:dyDescent="0.45">
      <c r="B37" s="1" t="s">
        <v>18</v>
      </c>
    </row>
    <row r="38" spans="2:2" x14ac:dyDescent="0.45">
      <c r="B38" s="1" t="s">
        <v>19</v>
      </c>
    </row>
  </sheetData>
  <mergeCells count="3">
    <mergeCell ref="A1:D1"/>
    <mergeCell ref="B9:D10"/>
    <mergeCell ref="B14:D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Group Box 1">
              <controlPr defaultSize="0" autoFill="0" autoPict="0">
                <anchor moveWithCells="1">
                  <from>
                    <xdr:col>1</xdr:col>
                    <xdr:colOff>9525</xdr:colOff>
                    <xdr:row>8</xdr:row>
                    <xdr:rowOff>0</xdr:rowOff>
                  </from>
                  <to>
                    <xdr:col>3</xdr:col>
                    <xdr:colOff>1228725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Group Box 2">
              <controlPr defaultSize="0" autoFill="0" autoPict="0">
                <anchor moveWithCells="1">
                  <from>
                    <xdr:col>1</xdr:col>
                    <xdr:colOff>9525</xdr:colOff>
                    <xdr:row>12</xdr:row>
                    <xdr:rowOff>180975</xdr:rowOff>
                  </from>
                  <to>
                    <xdr:col>3</xdr:col>
                    <xdr:colOff>1228725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Option Button 3">
              <controlPr defaultSize="0" autoFill="0" autoLine="0" autoPict="0">
                <anchor moveWithCells="1">
                  <from>
                    <xdr:col>1</xdr:col>
                    <xdr:colOff>114300</xdr:colOff>
                    <xdr:row>8</xdr:row>
                    <xdr:rowOff>66675</xdr:rowOff>
                  </from>
                  <to>
                    <xdr:col>1</xdr:col>
                    <xdr:colOff>609600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Option Button 4">
              <controlPr defaultSize="0" autoFill="0" autoLine="0" autoPict="0">
                <anchor moveWithCells="1">
                  <from>
                    <xdr:col>1</xdr:col>
                    <xdr:colOff>800100</xdr:colOff>
                    <xdr:row>8</xdr:row>
                    <xdr:rowOff>66675</xdr:rowOff>
                  </from>
                  <to>
                    <xdr:col>1</xdr:col>
                    <xdr:colOff>1314450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Option Button 5">
              <controlPr defaultSize="0" autoFill="0" autoLine="0" autoPict="0">
                <anchor moveWithCells="1">
                  <from>
                    <xdr:col>1</xdr:col>
                    <xdr:colOff>1495425</xdr:colOff>
                    <xdr:row>8</xdr:row>
                    <xdr:rowOff>76200</xdr:rowOff>
                  </from>
                  <to>
                    <xdr:col>1</xdr:col>
                    <xdr:colOff>1971675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Option Button 6">
              <controlPr defaultSize="0" autoFill="0" autoLine="0" autoPict="0">
                <anchor moveWithCells="1">
                  <from>
                    <xdr:col>2</xdr:col>
                    <xdr:colOff>28575</xdr:colOff>
                    <xdr:row>8</xdr:row>
                    <xdr:rowOff>76200</xdr:rowOff>
                  </from>
                  <to>
                    <xdr:col>2</xdr:col>
                    <xdr:colOff>514350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Option Button 7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85725</xdr:rowOff>
                  </from>
                  <to>
                    <xdr:col>3</xdr:col>
                    <xdr:colOff>552450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Option Button 8">
              <controlPr defaultSize="0" autoFill="0" autoLine="0" autoPict="0">
                <anchor moveWithCells="1">
                  <from>
                    <xdr:col>3</xdr:col>
                    <xdr:colOff>742950</xdr:colOff>
                    <xdr:row>8</xdr:row>
                    <xdr:rowOff>85725</xdr:rowOff>
                  </from>
                  <to>
                    <xdr:col>3</xdr:col>
                    <xdr:colOff>1190625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Option Button 9">
              <controlPr defaultSize="0" autoFill="0" autoLine="0" autoPict="0">
                <anchor moveWithCells="1">
                  <from>
                    <xdr:col>1</xdr:col>
                    <xdr:colOff>447675</xdr:colOff>
                    <xdr:row>13</xdr:row>
                    <xdr:rowOff>95250</xdr:rowOff>
                  </from>
                  <to>
                    <xdr:col>1</xdr:col>
                    <xdr:colOff>1085850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Option Button 10">
              <controlPr defaultSize="0" autoFill="0" autoLine="0" autoPict="0">
                <anchor moveWithCells="1">
                  <from>
                    <xdr:col>1</xdr:col>
                    <xdr:colOff>1514475</xdr:colOff>
                    <xdr:row>13</xdr:row>
                    <xdr:rowOff>85725</xdr:rowOff>
                  </from>
                  <to>
                    <xdr:col>2</xdr:col>
                    <xdr:colOff>28575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Option Button 11">
              <controlPr defaultSize="0" autoFill="0" autoLine="0" autoPict="0">
                <anchor moveWithCells="1">
                  <from>
                    <xdr:col>3</xdr:col>
                    <xdr:colOff>180975</xdr:colOff>
                    <xdr:row>13</xdr:row>
                    <xdr:rowOff>85725</xdr:rowOff>
                  </from>
                  <to>
                    <xdr:col>3</xdr:col>
                    <xdr:colOff>819150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Option Button 12">
              <controlPr defaultSize="0" autoFill="0" autoLine="0" autoPict="0">
                <anchor moveWithCells="1">
                  <from>
                    <xdr:col>3</xdr:col>
                    <xdr:colOff>180975</xdr:colOff>
                    <xdr:row>14</xdr:row>
                    <xdr:rowOff>95250</xdr:rowOff>
                  </from>
                  <to>
                    <xdr:col>3</xdr:col>
                    <xdr:colOff>819150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Option Button 13">
              <controlPr defaultSize="0" autoFill="0" autoLine="0" autoPict="0">
                <anchor moveWithCells="1">
                  <from>
                    <xdr:col>1</xdr:col>
                    <xdr:colOff>447675</xdr:colOff>
                    <xdr:row>14</xdr:row>
                    <xdr:rowOff>85725</xdr:rowOff>
                  </from>
                  <to>
                    <xdr:col>1</xdr:col>
                    <xdr:colOff>1085850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Option Button 14">
              <controlPr defaultSize="0" autoFill="0" autoLine="0" autoPict="0">
                <anchor moveWithCells="1">
                  <from>
                    <xdr:col>1</xdr:col>
                    <xdr:colOff>1514475</xdr:colOff>
                    <xdr:row>14</xdr:row>
                    <xdr:rowOff>104775</xdr:rowOff>
                  </from>
                  <to>
                    <xdr:col>2</xdr:col>
                    <xdr:colOff>28575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Drop Down 15">
              <controlPr defaultSize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3</xdr:col>
                    <xdr:colOff>1428750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2FD48-66FC-4040-8123-6B4E7650F737}">
  <sheetPr codeName="Sheet7"/>
  <dimension ref="A1:D38"/>
  <sheetViews>
    <sheetView topLeftCell="A17" workbookViewId="0">
      <selection activeCell="D31" sqref="D31"/>
    </sheetView>
  </sheetViews>
  <sheetFormatPr defaultRowHeight="14.25" x14ac:dyDescent="0.45"/>
  <cols>
    <col min="2" max="2" width="31.86328125" bestFit="1" customWidth="1"/>
    <col min="4" max="4" width="21.73046875" customWidth="1"/>
  </cols>
  <sheetData>
    <row r="1" spans="1:4" ht="35.25" customHeight="1" x14ac:dyDescent="0.7">
      <c r="A1" s="25" t="s">
        <v>0</v>
      </c>
      <c r="B1" s="25"/>
      <c r="C1" s="25"/>
      <c r="D1" s="25"/>
    </row>
    <row r="2" spans="1:4" ht="14.65" thickBot="1" x14ac:dyDescent="0.5"/>
    <row r="3" spans="1:4" ht="14.65" thickBot="1" x14ac:dyDescent="0.5">
      <c r="B3" s="2" t="s">
        <v>1</v>
      </c>
      <c r="D3" s="7">
        <v>250000</v>
      </c>
    </row>
    <row r="4" spans="1:4" ht="14.65" thickBot="1" x14ac:dyDescent="0.5"/>
    <row r="5" spans="1:4" ht="14.65" thickBot="1" x14ac:dyDescent="0.5">
      <c r="B5" s="2" t="s">
        <v>2</v>
      </c>
      <c r="D5" s="7">
        <v>65000</v>
      </c>
    </row>
    <row r="6" spans="1:4" ht="14.65" thickBot="1" x14ac:dyDescent="0.5"/>
    <row r="7" spans="1:4" ht="14.65" thickBot="1" x14ac:dyDescent="0.5">
      <c r="B7" s="2" t="s">
        <v>3</v>
      </c>
      <c r="D7" s="7">
        <f>D3-D5</f>
        <v>185000</v>
      </c>
    </row>
    <row r="9" spans="1:4" x14ac:dyDescent="0.45">
      <c r="B9" s="26"/>
      <c r="C9" s="26"/>
      <c r="D9" s="26"/>
    </row>
    <row r="10" spans="1:4" x14ac:dyDescent="0.45">
      <c r="B10" s="26"/>
      <c r="C10" s="26"/>
      <c r="D10" s="26"/>
    </row>
    <row r="11" spans="1:4" ht="14.65" thickBot="1" x14ac:dyDescent="0.5"/>
    <row r="12" spans="1:4" ht="14.65" thickBot="1" x14ac:dyDescent="0.5">
      <c r="B12" s="2" t="s">
        <v>5</v>
      </c>
      <c r="D12" s="7"/>
    </row>
    <row r="13" spans="1:4" x14ac:dyDescent="0.45">
      <c r="B13" s="2"/>
    </row>
    <row r="14" spans="1:4" x14ac:dyDescent="0.45">
      <c r="B14" s="26"/>
      <c r="C14" s="26"/>
      <c r="D14" s="26"/>
    </row>
    <row r="15" spans="1:4" x14ac:dyDescent="0.45">
      <c r="B15" s="26"/>
      <c r="C15" s="26"/>
      <c r="D15" s="26"/>
    </row>
    <row r="16" spans="1:4" x14ac:dyDescent="0.45">
      <c r="B16" s="26"/>
      <c r="C16" s="26"/>
      <c r="D16" s="26"/>
    </row>
    <row r="17" spans="2:4" ht="14.65" thickBot="1" x14ac:dyDescent="0.5"/>
    <row r="18" spans="2:4" ht="14.65" thickBot="1" x14ac:dyDescent="0.5">
      <c r="B18" s="2" t="s">
        <v>7</v>
      </c>
      <c r="D18" s="4"/>
    </row>
    <row r="19" spans="2:4" ht="14.65" thickBot="1" x14ac:dyDescent="0.5"/>
    <row r="20" spans="2:4" ht="14.65" thickBot="1" x14ac:dyDescent="0.5">
      <c r="B20" s="2" t="s">
        <v>8</v>
      </c>
      <c r="D20" s="7"/>
    </row>
    <row r="21" spans="2:4" ht="14.65" thickBot="1" x14ac:dyDescent="0.5"/>
    <row r="22" spans="2:4" ht="14.65" thickBot="1" x14ac:dyDescent="0.5">
      <c r="B22" s="2" t="s">
        <v>9</v>
      </c>
      <c r="D22" s="7">
        <v>72000</v>
      </c>
    </row>
    <row r="25" spans="2:4" x14ac:dyDescent="0.45">
      <c r="B25" s="3" t="s">
        <v>10</v>
      </c>
      <c r="C25" s="3" t="s">
        <v>20</v>
      </c>
      <c r="D25" s="3" t="s">
        <v>21</v>
      </c>
    </row>
    <row r="26" spans="2:4" x14ac:dyDescent="0.45">
      <c r="B26" s="1" t="s">
        <v>1</v>
      </c>
      <c r="D26" s="8">
        <f>D3</f>
        <v>250000</v>
      </c>
    </row>
    <row r="27" spans="2:4" x14ac:dyDescent="0.45">
      <c r="B27" s="1" t="s">
        <v>11</v>
      </c>
      <c r="D27" s="8">
        <f>D5</f>
        <v>65000</v>
      </c>
    </row>
    <row r="28" spans="2:4" x14ac:dyDescent="0.45">
      <c r="B28" s="1" t="s">
        <v>4</v>
      </c>
      <c r="C28">
        <v>4</v>
      </c>
      <c r="D28" s="5">
        <f>C28*5%</f>
        <v>0.2</v>
      </c>
    </row>
    <row r="29" spans="2:4" x14ac:dyDescent="0.45">
      <c r="B29" s="1" t="s">
        <v>12</v>
      </c>
      <c r="C29">
        <v>6</v>
      </c>
      <c r="D29">
        <f>C29*5</f>
        <v>30</v>
      </c>
    </row>
    <row r="30" spans="2:4" x14ac:dyDescent="0.45">
      <c r="B30" s="1" t="s">
        <v>13</v>
      </c>
      <c r="C30">
        <v>3</v>
      </c>
      <c r="D30" s="6">
        <f>(C30*0.5 + 1.5)/100</f>
        <v>0.03</v>
      </c>
    </row>
    <row r="31" spans="2:4" x14ac:dyDescent="0.45">
      <c r="B31" s="1" t="s">
        <v>14</v>
      </c>
      <c r="D31" s="8">
        <f>D22</f>
        <v>72000</v>
      </c>
    </row>
    <row r="34" spans="2:2" x14ac:dyDescent="0.45">
      <c r="B34" s="1" t="s">
        <v>15</v>
      </c>
    </row>
    <row r="35" spans="2:2" x14ac:dyDescent="0.45">
      <c r="B35" s="1" t="s">
        <v>16</v>
      </c>
    </row>
    <row r="36" spans="2:2" x14ac:dyDescent="0.45">
      <c r="B36" s="1" t="s">
        <v>17</v>
      </c>
    </row>
    <row r="37" spans="2:2" x14ac:dyDescent="0.45">
      <c r="B37" s="1" t="s">
        <v>18</v>
      </c>
    </row>
    <row r="38" spans="2:2" x14ac:dyDescent="0.45">
      <c r="B38" s="1" t="s">
        <v>19</v>
      </c>
    </row>
  </sheetData>
  <mergeCells count="3">
    <mergeCell ref="A1:D1"/>
    <mergeCell ref="B9:D10"/>
    <mergeCell ref="B14:D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Group Box 1">
              <controlPr defaultSize="0" autoFill="0" autoPict="0">
                <anchor moveWithCells="1">
                  <from>
                    <xdr:col>1</xdr:col>
                    <xdr:colOff>9525</xdr:colOff>
                    <xdr:row>8</xdr:row>
                    <xdr:rowOff>0</xdr:rowOff>
                  </from>
                  <to>
                    <xdr:col>3</xdr:col>
                    <xdr:colOff>1228725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Group Box 2">
              <controlPr defaultSize="0" autoFill="0" autoPict="0">
                <anchor moveWithCells="1">
                  <from>
                    <xdr:col>1</xdr:col>
                    <xdr:colOff>9525</xdr:colOff>
                    <xdr:row>12</xdr:row>
                    <xdr:rowOff>180975</xdr:rowOff>
                  </from>
                  <to>
                    <xdr:col>3</xdr:col>
                    <xdr:colOff>1228725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Option Button 3">
              <controlPr defaultSize="0" autoFill="0" autoLine="0" autoPict="0">
                <anchor moveWithCells="1">
                  <from>
                    <xdr:col>1</xdr:col>
                    <xdr:colOff>114300</xdr:colOff>
                    <xdr:row>8</xdr:row>
                    <xdr:rowOff>66675</xdr:rowOff>
                  </from>
                  <to>
                    <xdr:col>1</xdr:col>
                    <xdr:colOff>609600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Option Button 4">
              <controlPr defaultSize="0" autoFill="0" autoLine="0" autoPict="0">
                <anchor moveWithCells="1">
                  <from>
                    <xdr:col>1</xdr:col>
                    <xdr:colOff>800100</xdr:colOff>
                    <xdr:row>8</xdr:row>
                    <xdr:rowOff>66675</xdr:rowOff>
                  </from>
                  <to>
                    <xdr:col>1</xdr:col>
                    <xdr:colOff>1314450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Option Button 5">
              <controlPr defaultSize="0" autoFill="0" autoLine="0" autoPict="0">
                <anchor moveWithCells="1">
                  <from>
                    <xdr:col>1</xdr:col>
                    <xdr:colOff>1495425</xdr:colOff>
                    <xdr:row>8</xdr:row>
                    <xdr:rowOff>76200</xdr:rowOff>
                  </from>
                  <to>
                    <xdr:col>1</xdr:col>
                    <xdr:colOff>1971675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Option Button 6">
              <controlPr defaultSize="0" autoFill="0" autoLine="0" autoPict="0">
                <anchor moveWithCells="1">
                  <from>
                    <xdr:col>2</xdr:col>
                    <xdr:colOff>28575</xdr:colOff>
                    <xdr:row>8</xdr:row>
                    <xdr:rowOff>76200</xdr:rowOff>
                  </from>
                  <to>
                    <xdr:col>2</xdr:col>
                    <xdr:colOff>514350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Option Button 7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85725</xdr:rowOff>
                  </from>
                  <to>
                    <xdr:col>3</xdr:col>
                    <xdr:colOff>552450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Option Button 8">
              <controlPr defaultSize="0" autoFill="0" autoLine="0" autoPict="0">
                <anchor moveWithCells="1">
                  <from>
                    <xdr:col>3</xdr:col>
                    <xdr:colOff>742950</xdr:colOff>
                    <xdr:row>8</xdr:row>
                    <xdr:rowOff>85725</xdr:rowOff>
                  </from>
                  <to>
                    <xdr:col>3</xdr:col>
                    <xdr:colOff>1190625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Option Button 9">
              <controlPr defaultSize="0" autoFill="0" autoLine="0" autoPict="0">
                <anchor moveWithCells="1">
                  <from>
                    <xdr:col>1</xdr:col>
                    <xdr:colOff>447675</xdr:colOff>
                    <xdr:row>13</xdr:row>
                    <xdr:rowOff>95250</xdr:rowOff>
                  </from>
                  <to>
                    <xdr:col>1</xdr:col>
                    <xdr:colOff>1085850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2" name="Option Button 10">
              <controlPr defaultSize="0" autoFill="0" autoLine="0" autoPict="0">
                <anchor moveWithCells="1">
                  <from>
                    <xdr:col>1</xdr:col>
                    <xdr:colOff>1514475</xdr:colOff>
                    <xdr:row>13</xdr:row>
                    <xdr:rowOff>85725</xdr:rowOff>
                  </from>
                  <to>
                    <xdr:col>2</xdr:col>
                    <xdr:colOff>28575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3" name="Option Button 11">
              <controlPr defaultSize="0" autoFill="0" autoLine="0" autoPict="0">
                <anchor moveWithCells="1">
                  <from>
                    <xdr:col>3</xdr:col>
                    <xdr:colOff>180975</xdr:colOff>
                    <xdr:row>13</xdr:row>
                    <xdr:rowOff>85725</xdr:rowOff>
                  </from>
                  <to>
                    <xdr:col>3</xdr:col>
                    <xdr:colOff>819150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4" name="Option Button 12">
              <controlPr defaultSize="0" autoFill="0" autoLine="0" autoPict="0">
                <anchor moveWithCells="1">
                  <from>
                    <xdr:col>1</xdr:col>
                    <xdr:colOff>447675</xdr:colOff>
                    <xdr:row>14</xdr:row>
                    <xdr:rowOff>104775</xdr:rowOff>
                  </from>
                  <to>
                    <xdr:col>1</xdr:col>
                    <xdr:colOff>1085850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5" name="Option Button 13">
              <controlPr defaultSize="0" autoFill="0" autoLine="0" autoPict="0">
                <anchor moveWithCells="1">
                  <from>
                    <xdr:col>1</xdr:col>
                    <xdr:colOff>1514475</xdr:colOff>
                    <xdr:row>14</xdr:row>
                    <xdr:rowOff>104775</xdr:rowOff>
                  </from>
                  <to>
                    <xdr:col>2</xdr:col>
                    <xdr:colOff>28575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6" name="Option Button 14">
              <controlPr defaultSize="0" autoFill="0" autoLine="0" autoPict="0">
                <anchor moveWithCells="1">
                  <from>
                    <xdr:col>3</xdr:col>
                    <xdr:colOff>180975</xdr:colOff>
                    <xdr:row>14</xdr:row>
                    <xdr:rowOff>104775</xdr:rowOff>
                  </from>
                  <to>
                    <xdr:col>3</xdr:col>
                    <xdr:colOff>819150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7" name="Drop Down 15">
              <controlPr defaultSize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3</xdr:col>
                    <xdr:colOff>1428750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FAD2F-A192-470E-91DE-04A527E8636D}">
  <sheetPr codeName="Sheet8"/>
  <dimension ref="A1:D38"/>
  <sheetViews>
    <sheetView topLeftCell="A20" workbookViewId="0">
      <selection activeCell="D36" sqref="D36"/>
    </sheetView>
  </sheetViews>
  <sheetFormatPr defaultRowHeight="14.25" x14ac:dyDescent="0.45"/>
  <cols>
    <col min="2" max="2" width="31.86328125" bestFit="1" customWidth="1"/>
    <col min="4" max="4" width="21.73046875" customWidth="1"/>
  </cols>
  <sheetData>
    <row r="1" spans="1:4" ht="35.25" customHeight="1" x14ac:dyDescent="0.7">
      <c r="A1" s="25" t="s">
        <v>0</v>
      </c>
      <c r="B1" s="25"/>
      <c r="C1" s="25"/>
      <c r="D1" s="25"/>
    </row>
    <row r="2" spans="1:4" ht="14.65" thickBot="1" x14ac:dyDescent="0.5"/>
    <row r="3" spans="1:4" ht="14.65" thickBot="1" x14ac:dyDescent="0.5">
      <c r="B3" s="2" t="s">
        <v>1</v>
      </c>
      <c r="D3" s="7">
        <v>250000</v>
      </c>
    </row>
    <row r="4" spans="1:4" ht="14.65" thickBot="1" x14ac:dyDescent="0.5"/>
    <row r="5" spans="1:4" ht="14.65" thickBot="1" x14ac:dyDescent="0.5">
      <c r="B5" s="2" t="s">
        <v>2</v>
      </c>
      <c r="D5" s="7">
        <v>65000</v>
      </c>
    </row>
    <row r="6" spans="1:4" ht="14.65" thickBot="1" x14ac:dyDescent="0.5"/>
    <row r="7" spans="1:4" ht="14.65" thickBot="1" x14ac:dyDescent="0.5">
      <c r="B7" s="2" t="s">
        <v>3</v>
      </c>
      <c r="D7" s="7">
        <f>D3-D5</f>
        <v>185000</v>
      </c>
    </row>
    <row r="9" spans="1:4" x14ac:dyDescent="0.45">
      <c r="B9" s="26"/>
      <c r="C9" s="26"/>
      <c r="D9" s="26"/>
    </row>
    <row r="10" spans="1:4" x14ac:dyDescent="0.45">
      <c r="B10" s="26"/>
      <c r="C10" s="26"/>
      <c r="D10" s="26"/>
    </row>
    <row r="11" spans="1:4" ht="14.65" thickBot="1" x14ac:dyDescent="0.5"/>
    <row r="12" spans="1:4" ht="14.65" thickBot="1" x14ac:dyDescent="0.5">
      <c r="B12" s="2" t="s">
        <v>5</v>
      </c>
      <c r="D12" s="7">
        <f>D34</f>
        <v>148000</v>
      </c>
    </row>
    <row r="13" spans="1:4" x14ac:dyDescent="0.45">
      <c r="B13" s="2"/>
    </row>
    <row r="14" spans="1:4" x14ac:dyDescent="0.45">
      <c r="B14" s="26"/>
      <c r="C14" s="26"/>
      <c r="D14" s="26"/>
    </row>
    <row r="15" spans="1:4" x14ac:dyDescent="0.45">
      <c r="B15" s="26"/>
      <c r="C15" s="26"/>
      <c r="D15" s="26"/>
    </row>
    <row r="16" spans="1:4" x14ac:dyDescent="0.45">
      <c r="B16" s="26"/>
      <c r="C16" s="26"/>
      <c r="D16" s="26"/>
    </row>
    <row r="18" spans="2:4" x14ac:dyDescent="0.45">
      <c r="B18" s="2" t="s">
        <v>7</v>
      </c>
    </row>
    <row r="19" spans="2:4" ht="14.65" thickBot="1" x14ac:dyDescent="0.5"/>
    <row r="20" spans="2:4" ht="14.65" thickBot="1" x14ac:dyDescent="0.5">
      <c r="B20" s="2" t="s">
        <v>8</v>
      </c>
      <c r="D20" s="7">
        <f>D35</f>
        <v>1429.0990215361649</v>
      </c>
    </row>
    <row r="21" spans="2:4" ht="14.65" thickBot="1" x14ac:dyDescent="0.5"/>
    <row r="22" spans="2:4" ht="14.65" thickBot="1" x14ac:dyDescent="0.5">
      <c r="B22" s="2" t="s">
        <v>9</v>
      </c>
      <c r="D22" s="7">
        <v>72000</v>
      </c>
    </row>
    <row r="25" spans="2:4" x14ac:dyDescent="0.45">
      <c r="B25" s="3" t="s">
        <v>10</v>
      </c>
      <c r="C25" s="3" t="s">
        <v>20</v>
      </c>
      <c r="D25" s="3" t="s">
        <v>21</v>
      </c>
    </row>
    <row r="26" spans="2:4" x14ac:dyDescent="0.45">
      <c r="B26" s="1" t="s">
        <v>1</v>
      </c>
      <c r="D26" s="8">
        <f>D3</f>
        <v>250000</v>
      </c>
    </row>
    <row r="27" spans="2:4" x14ac:dyDescent="0.45">
      <c r="B27" s="1" t="s">
        <v>11</v>
      </c>
      <c r="D27" s="8">
        <f>D5</f>
        <v>65000</v>
      </c>
    </row>
    <row r="28" spans="2:4" x14ac:dyDescent="0.45">
      <c r="B28" s="1" t="s">
        <v>4</v>
      </c>
      <c r="C28">
        <v>4</v>
      </c>
      <c r="D28" s="5">
        <f>C28*5%</f>
        <v>0.2</v>
      </c>
    </row>
    <row r="29" spans="2:4" x14ac:dyDescent="0.45">
      <c r="B29" s="1" t="s">
        <v>12</v>
      </c>
      <c r="C29">
        <v>2</v>
      </c>
      <c r="D29">
        <f>C29*5</f>
        <v>10</v>
      </c>
    </row>
    <row r="30" spans="2:4" x14ac:dyDescent="0.45">
      <c r="B30" s="1" t="s">
        <v>13</v>
      </c>
      <c r="C30">
        <v>3</v>
      </c>
      <c r="D30" s="6">
        <f>(C30*0.5 + 1.5)/100</f>
        <v>0.03</v>
      </c>
    </row>
    <row r="31" spans="2:4" x14ac:dyDescent="0.45">
      <c r="B31" s="1" t="s">
        <v>14</v>
      </c>
      <c r="D31" s="8">
        <f>D22</f>
        <v>72000</v>
      </c>
    </row>
    <row r="34" spans="2:4" x14ac:dyDescent="0.45">
      <c r="B34" s="1" t="s">
        <v>15</v>
      </c>
      <c r="D34" s="8">
        <f>D7*(1-D28)</f>
        <v>148000</v>
      </c>
    </row>
    <row r="35" spans="2:4" x14ac:dyDescent="0.45">
      <c r="B35" s="1" t="s">
        <v>16</v>
      </c>
      <c r="D35" s="9">
        <f>-PMT(D30/12,D29*12,D34)</f>
        <v>1429.0990215361649</v>
      </c>
    </row>
    <row r="36" spans="2:4" x14ac:dyDescent="0.45">
      <c r="B36" s="1" t="s">
        <v>17</v>
      </c>
      <c r="D36" s="8">
        <f>D35*D29*12</f>
        <v>171491.88258433979</v>
      </c>
    </row>
    <row r="37" spans="2:4" x14ac:dyDescent="0.45">
      <c r="B37" s="1" t="s">
        <v>18</v>
      </c>
      <c r="D37" s="8">
        <f>D36-D34</f>
        <v>23491.882584339794</v>
      </c>
    </row>
    <row r="38" spans="2:4" x14ac:dyDescent="0.45">
      <c r="B38" s="1" t="s">
        <v>19</v>
      </c>
      <c r="D38" s="6">
        <f>D35*12/D22</f>
        <v>0.23818317025602745</v>
      </c>
    </row>
  </sheetData>
  <mergeCells count="3">
    <mergeCell ref="A1:D1"/>
    <mergeCell ref="B9:D10"/>
    <mergeCell ref="B14:D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Group Box 1">
              <controlPr defaultSize="0" autoFill="0" autoPict="0">
                <anchor moveWithCells="1">
                  <from>
                    <xdr:col>1</xdr:col>
                    <xdr:colOff>9525</xdr:colOff>
                    <xdr:row>8</xdr:row>
                    <xdr:rowOff>0</xdr:rowOff>
                  </from>
                  <to>
                    <xdr:col>3</xdr:col>
                    <xdr:colOff>1228725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Group Box 2">
              <controlPr defaultSize="0" autoFill="0" autoPict="0">
                <anchor moveWithCells="1">
                  <from>
                    <xdr:col>1</xdr:col>
                    <xdr:colOff>9525</xdr:colOff>
                    <xdr:row>12</xdr:row>
                    <xdr:rowOff>180975</xdr:rowOff>
                  </from>
                  <to>
                    <xdr:col>3</xdr:col>
                    <xdr:colOff>1228725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Option Button 3">
              <controlPr defaultSize="0" autoFill="0" autoLine="0" autoPict="0">
                <anchor moveWithCells="1">
                  <from>
                    <xdr:col>1</xdr:col>
                    <xdr:colOff>114300</xdr:colOff>
                    <xdr:row>8</xdr:row>
                    <xdr:rowOff>66675</xdr:rowOff>
                  </from>
                  <to>
                    <xdr:col>1</xdr:col>
                    <xdr:colOff>609600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Option Button 4">
              <controlPr defaultSize="0" autoFill="0" autoLine="0" autoPict="0">
                <anchor moveWithCells="1">
                  <from>
                    <xdr:col>1</xdr:col>
                    <xdr:colOff>800100</xdr:colOff>
                    <xdr:row>8</xdr:row>
                    <xdr:rowOff>66675</xdr:rowOff>
                  </from>
                  <to>
                    <xdr:col>1</xdr:col>
                    <xdr:colOff>1314450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Option Button 5">
              <controlPr defaultSize="0" autoFill="0" autoLine="0" autoPict="0">
                <anchor moveWithCells="1">
                  <from>
                    <xdr:col>1</xdr:col>
                    <xdr:colOff>1495425</xdr:colOff>
                    <xdr:row>8</xdr:row>
                    <xdr:rowOff>76200</xdr:rowOff>
                  </from>
                  <to>
                    <xdr:col>1</xdr:col>
                    <xdr:colOff>1971675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Option Button 6">
              <controlPr defaultSize="0" autoFill="0" autoLine="0" autoPict="0">
                <anchor moveWithCells="1">
                  <from>
                    <xdr:col>2</xdr:col>
                    <xdr:colOff>28575</xdr:colOff>
                    <xdr:row>8</xdr:row>
                    <xdr:rowOff>76200</xdr:rowOff>
                  </from>
                  <to>
                    <xdr:col>2</xdr:col>
                    <xdr:colOff>514350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9" name="Option Button 7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85725</xdr:rowOff>
                  </from>
                  <to>
                    <xdr:col>3</xdr:col>
                    <xdr:colOff>552450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0" name="Option Button 8">
              <controlPr defaultSize="0" autoFill="0" autoLine="0" autoPict="0">
                <anchor moveWithCells="1">
                  <from>
                    <xdr:col>3</xdr:col>
                    <xdr:colOff>742950</xdr:colOff>
                    <xdr:row>8</xdr:row>
                    <xdr:rowOff>85725</xdr:rowOff>
                  </from>
                  <to>
                    <xdr:col>3</xdr:col>
                    <xdr:colOff>1190625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Option Button 9">
              <controlPr defaultSize="0" autoFill="0" autoLine="0" autoPict="0">
                <anchor moveWithCells="1">
                  <from>
                    <xdr:col>1</xdr:col>
                    <xdr:colOff>447675</xdr:colOff>
                    <xdr:row>13</xdr:row>
                    <xdr:rowOff>95250</xdr:rowOff>
                  </from>
                  <to>
                    <xdr:col>1</xdr:col>
                    <xdr:colOff>1085850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Option Button 10">
              <controlPr defaultSize="0" autoFill="0" autoLine="0" autoPict="0">
                <anchor moveWithCells="1">
                  <from>
                    <xdr:col>1</xdr:col>
                    <xdr:colOff>1514475</xdr:colOff>
                    <xdr:row>13</xdr:row>
                    <xdr:rowOff>85725</xdr:rowOff>
                  </from>
                  <to>
                    <xdr:col>2</xdr:col>
                    <xdr:colOff>28575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3" name="Option Button 11">
              <controlPr defaultSize="0" autoFill="0" autoLine="0" autoPict="0">
                <anchor moveWithCells="1">
                  <from>
                    <xdr:col>3</xdr:col>
                    <xdr:colOff>180975</xdr:colOff>
                    <xdr:row>13</xdr:row>
                    <xdr:rowOff>85725</xdr:rowOff>
                  </from>
                  <to>
                    <xdr:col>3</xdr:col>
                    <xdr:colOff>819150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4" name="Option Button 12">
              <controlPr defaultSize="0" autoFill="0" autoLine="0" autoPict="0">
                <anchor moveWithCells="1">
                  <from>
                    <xdr:col>1</xdr:col>
                    <xdr:colOff>447675</xdr:colOff>
                    <xdr:row>14</xdr:row>
                    <xdr:rowOff>104775</xdr:rowOff>
                  </from>
                  <to>
                    <xdr:col>1</xdr:col>
                    <xdr:colOff>1085850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5" name="Option Button 13">
              <controlPr defaultSize="0" autoFill="0" autoLine="0" autoPict="0">
                <anchor moveWithCells="1">
                  <from>
                    <xdr:col>1</xdr:col>
                    <xdr:colOff>1514475</xdr:colOff>
                    <xdr:row>14</xdr:row>
                    <xdr:rowOff>104775</xdr:rowOff>
                  </from>
                  <to>
                    <xdr:col>2</xdr:col>
                    <xdr:colOff>28575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6" name="Option Button 14">
              <controlPr defaultSize="0" autoFill="0" autoLine="0" autoPict="0">
                <anchor moveWithCells="1">
                  <from>
                    <xdr:col>3</xdr:col>
                    <xdr:colOff>180975</xdr:colOff>
                    <xdr:row>14</xdr:row>
                    <xdr:rowOff>104775</xdr:rowOff>
                  </from>
                  <to>
                    <xdr:col>3</xdr:col>
                    <xdr:colOff>819150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7" name="Drop Down 15">
              <controlPr defaultSize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3</xdr:col>
                    <xdr:colOff>1428750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DE948-DC7D-41F3-8637-06AE14291946}">
  <sheetPr codeName="Sheet1"/>
  <dimension ref="A1:D39"/>
  <sheetViews>
    <sheetView topLeftCell="A17" workbookViewId="0">
      <selection activeCell="D31" sqref="D31"/>
    </sheetView>
  </sheetViews>
  <sheetFormatPr defaultRowHeight="14.25" x14ac:dyDescent="0.45"/>
  <cols>
    <col min="2" max="2" width="31.86328125" bestFit="1" customWidth="1"/>
    <col min="4" max="4" width="21.73046875" customWidth="1"/>
  </cols>
  <sheetData>
    <row r="1" spans="1:4" ht="35.25" customHeight="1" x14ac:dyDescent="0.7">
      <c r="A1" s="25" t="s">
        <v>0</v>
      </c>
      <c r="B1" s="25"/>
      <c r="C1" s="25"/>
      <c r="D1" s="25"/>
    </row>
    <row r="2" spans="1:4" ht="14.65" thickBot="1" x14ac:dyDescent="0.5"/>
    <row r="3" spans="1:4" ht="14.65" thickBot="1" x14ac:dyDescent="0.5">
      <c r="B3" s="2" t="s">
        <v>1</v>
      </c>
      <c r="D3" s="7">
        <v>250000</v>
      </c>
    </row>
    <row r="4" spans="1:4" ht="14.65" thickBot="1" x14ac:dyDescent="0.5"/>
    <row r="5" spans="1:4" ht="14.65" thickBot="1" x14ac:dyDescent="0.5">
      <c r="B5" s="2" t="s">
        <v>2</v>
      </c>
      <c r="D5" s="7">
        <v>65000</v>
      </c>
    </row>
    <row r="6" spans="1:4" ht="14.65" thickBot="1" x14ac:dyDescent="0.5"/>
    <row r="7" spans="1:4" ht="14.65" thickBot="1" x14ac:dyDescent="0.5">
      <c r="B7" s="2" t="s">
        <v>3</v>
      </c>
      <c r="D7" s="7">
        <f>D3-D5</f>
        <v>185000</v>
      </c>
    </row>
    <row r="9" spans="1:4" x14ac:dyDescent="0.45">
      <c r="B9" s="26"/>
      <c r="C9" s="26"/>
      <c r="D9" s="26"/>
    </row>
    <row r="10" spans="1:4" x14ac:dyDescent="0.45">
      <c r="B10" s="26"/>
      <c r="C10" s="26"/>
      <c r="D10" s="26"/>
    </row>
    <row r="11" spans="1:4" ht="14.65" thickBot="1" x14ac:dyDescent="0.5"/>
    <row r="12" spans="1:4" ht="14.65" thickBot="1" x14ac:dyDescent="0.5">
      <c r="B12" s="2" t="s">
        <v>5</v>
      </c>
      <c r="D12" s="7">
        <f>D35</f>
        <v>148000</v>
      </c>
    </row>
    <row r="13" spans="1:4" x14ac:dyDescent="0.45">
      <c r="B13" s="2"/>
    </row>
    <row r="14" spans="1:4" x14ac:dyDescent="0.45">
      <c r="B14" s="26"/>
      <c r="C14" s="26"/>
      <c r="D14" s="26"/>
    </row>
    <row r="15" spans="1:4" x14ac:dyDescent="0.45">
      <c r="B15" s="26"/>
      <c r="C15" s="26"/>
      <c r="D15" s="26"/>
    </row>
    <row r="16" spans="1:4" x14ac:dyDescent="0.45">
      <c r="B16" s="26"/>
      <c r="C16" s="26"/>
      <c r="D16" s="26"/>
    </row>
    <row r="18" spans="2:4" x14ac:dyDescent="0.45">
      <c r="B18" s="2" t="s">
        <v>7</v>
      </c>
    </row>
    <row r="19" spans="2:4" ht="14.65" thickBot="1" x14ac:dyDescent="0.5"/>
    <row r="20" spans="2:4" ht="14.65" thickBot="1" x14ac:dyDescent="0.5">
      <c r="B20" s="2" t="s">
        <v>8</v>
      </c>
      <c r="D20" s="7">
        <f>D36</f>
        <v>1429.0990215361649</v>
      </c>
    </row>
    <row r="21" spans="2:4" ht="14.65" thickBot="1" x14ac:dyDescent="0.5"/>
    <row r="22" spans="2:4" ht="14.65" thickBot="1" x14ac:dyDescent="0.5">
      <c r="B22" s="2" t="s">
        <v>9</v>
      </c>
      <c r="D22" s="7">
        <v>72000</v>
      </c>
    </row>
    <row r="25" spans="2:4" x14ac:dyDescent="0.45">
      <c r="B25" s="3" t="s">
        <v>10</v>
      </c>
      <c r="C25" s="3" t="s">
        <v>20</v>
      </c>
      <c r="D25" s="3" t="s">
        <v>21</v>
      </c>
    </row>
    <row r="26" spans="2:4" x14ac:dyDescent="0.45">
      <c r="B26" s="1" t="s">
        <v>1</v>
      </c>
      <c r="D26" s="8">
        <f>D3</f>
        <v>250000</v>
      </c>
    </row>
    <row r="27" spans="2:4" x14ac:dyDescent="0.45">
      <c r="B27" s="1" t="s">
        <v>11</v>
      </c>
      <c r="D27" s="8">
        <f>D5</f>
        <v>65000</v>
      </c>
    </row>
    <row r="28" spans="2:4" x14ac:dyDescent="0.45">
      <c r="B28" s="1" t="s">
        <v>4</v>
      </c>
      <c r="C28">
        <v>4</v>
      </c>
      <c r="D28" s="5">
        <f>C28*5%</f>
        <v>0.2</v>
      </c>
    </row>
    <row r="29" spans="2:4" x14ac:dyDescent="0.45">
      <c r="B29" s="1" t="s">
        <v>12</v>
      </c>
      <c r="C29">
        <v>2</v>
      </c>
      <c r="D29">
        <f>C29*5</f>
        <v>10</v>
      </c>
    </row>
    <row r="30" spans="2:4" x14ac:dyDescent="0.45">
      <c r="B30" s="1" t="s">
        <v>13</v>
      </c>
      <c r="C30">
        <v>3</v>
      </c>
      <c r="D30" s="6">
        <f>(C30*0.5 + 1.5)/100</f>
        <v>0.03</v>
      </c>
    </row>
    <row r="31" spans="2:4" x14ac:dyDescent="0.45">
      <c r="B31" s="1" t="s">
        <v>23</v>
      </c>
      <c r="D31" s="6" t="b">
        <v>1</v>
      </c>
    </row>
    <row r="32" spans="2:4" x14ac:dyDescent="0.45">
      <c r="B32" s="1" t="s">
        <v>14</v>
      </c>
      <c r="D32" s="8">
        <f>D22</f>
        <v>72000</v>
      </c>
    </row>
    <row r="35" spans="2:4" x14ac:dyDescent="0.45">
      <c r="B35" s="1" t="s">
        <v>15</v>
      </c>
      <c r="D35" s="8">
        <f>D7*(1-D28)</f>
        <v>148000</v>
      </c>
    </row>
    <row r="36" spans="2:4" x14ac:dyDescent="0.45">
      <c r="B36" s="1" t="s">
        <v>16</v>
      </c>
      <c r="D36" s="9">
        <f>-PMT(D30/12,D29*12,D35)</f>
        <v>1429.0990215361649</v>
      </c>
    </row>
    <row r="37" spans="2:4" x14ac:dyDescent="0.45">
      <c r="B37" s="1" t="s">
        <v>17</v>
      </c>
      <c r="D37" s="8">
        <f>D36*D29*12</f>
        <v>171491.88258433979</v>
      </c>
    </row>
    <row r="38" spans="2:4" x14ac:dyDescent="0.45">
      <c r="B38" s="1" t="s">
        <v>18</v>
      </c>
      <c r="D38" s="8">
        <f>D37-D35</f>
        <v>23491.882584339794</v>
      </c>
    </row>
    <row r="39" spans="2:4" x14ac:dyDescent="0.45">
      <c r="B39" s="1" t="s">
        <v>19</v>
      </c>
      <c r="D39" s="6">
        <f>D36*12/D22</f>
        <v>0.23818317025602745</v>
      </c>
    </row>
  </sheetData>
  <mergeCells count="3">
    <mergeCell ref="A1:D1"/>
    <mergeCell ref="B9:D10"/>
    <mergeCell ref="B14:D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Group Box 1">
              <controlPr defaultSize="0" autoFill="0" autoPict="0">
                <anchor moveWithCells="1">
                  <from>
                    <xdr:col>1</xdr:col>
                    <xdr:colOff>9525</xdr:colOff>
                    <xdr:row>8</xdr:row>
                    <xdr:rowOff>0</xdr:rowOff>
                  </from>
                  <to>
                    <xdr:col>3</xdr:col>
                    <xdr:colOff>1228725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Group Box 2">
              <controlPr defaultSize="0" autoFill="0" autoPict="0">
                <anchor moveWithCells="1">
                  <from>
                    <xdr:col>1</xdr:col>
                    <xdr:colOff>9525</xdr:colOff>
                    <xdr:row>12</xdr:row>
                    <xdr:rowOff>180975</xdr:rowOff>
                  </from>
                  <to>
                    <xdr:col>3</xdr:col>
                    <xdr:colOff>1228725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Option Button 3">
              <controlPr defaultSize="0" autoFill="0" autoLine="0" autoPict="0">
                <anchor moveWithCells="1">
                  <from>
                    <xdr:col>1</xdr:col>
                    <xdr:colOff>114300</xdr:colOff>
                    <xdr:row>8</xdr:row>
                    <xdr:rowOff>66675</xdr:rowOff>
                  </from>
                  <to>
                    <xdr:col>1</xdr:col>
                    <xdr:colOff>609600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Option Button 4">
              <controlPr defaultSize="0" autoFill="0" autoLine="0" autoPict="0">
                <anchor moveWithCells="1">
                  <from>
                    <xdr:col>1</xdr:col>
                    <xdr:colOff>800100</xdr:colOff>
                    <xdr:row>8</xdr:row>
                    <xdr:rowOff>66675</xdr:rowOff>
                  </from>
                  <to>
                    <xdr:col>1</xdr:col>
                    <xdr:colOff>1314450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Option Button 5">
              <controlPr defaultSize="0" autoFill="0" autoLine="0" autoPict="0">
                <anchor moveWithCells="1">
                  <from>
                    <xdr:col>1</xdr:col>
                    <xdr:colOff>1495425</xdr:colOff>
                    <xdr:row>8</xdr:row>
                    <xdr:rowOff>76200</xdr:rowOff>
                  </from>
                  <to>
                    <xdr:col>1</xdr:col>
                    <xdr:colOff>1971675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Option Button 6">
              <controlPr defaultSize="0" autoFill="0" autoLine="0" autoPict="0">
                <anchor moveWithCells="1">
                  <from>
                    <xdr:col>2</xdr:col>
                    <xdr:colOff>28575</xdr:colOff>
                    <xdr:row>8</xdr:row>
                    <xdr:rowOff>76200</xdr:rowOff>
                  </from>
                  <to>
                    <xdr:col>2</xdr:col>
                    <xdr:colOff>514350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9" name="Option Button 7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85725</xdr:rowOff>
                  </from>
                  <to>
                    <xdr:col>3</xdr:col>
                    <xdr:colOff>552450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0" name="Option Button 8">
              <controlPr defaultSize="0" autoFill="0" autoLine="0" autoPict="0">
                <anchor moveWithCells="1">
                  <from>
                    <xdr:col>3</xdr:col>
                    <xdr:colOff>742950</xdr:colOff>
                    <xdr:row>8</xdr:row>
                    <xdr:rowOff>85725</xdr:rowOff>
                  </from>
                  <to>
                    <xdr:col>3</xdr:col>
                    <xdr:colOff>1190625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1" name="Option Button 9">
              <controlPr defaultSize="0" autoFill="0" autoLine="0" autoPict="0">
                <anchor moveWithCells="1">
                  <from>
                    <xdr:col>1</xdr:col>
                    <xdr:colOff>447675</xdr:colOff>
                    <xdr:row>13</xdr:row>
                    <xdr:rowOff>95250</xdr:rowOff>
                  </from>
                  <to>
                    <xdr:col>1</xdr:col>
                    <xdr:colOff>1085850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2" name="Option Button 10">
              <controlPr defaultSize="0" autoFill="0" autoLine="0" autoPict="0">
                <anchor moveWithCells="1">
                  <from>
                    <xdr:col>1</xdr:col>
                    <xdr:colOff>1514475</xdr:colOff>
                    <xdr:row>13</xdr:row>
                    <xdr:rowOff>85725</xdr:rowOff>
                  </from>
                  <to>
                    <xdr:col>2</xdr:col>
                    <xdr:colOff>28575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3" name="Option Button 11">
              <controlPr defaultSize="0" autoFill="0" autoLine="0" autoPict="0">
                <anchor moveWithCells="1">
                  <from>
                    <xdr:col>3</xdr:col>
                    <xdr:colOff>180975</xdr:colOff>
                    <xdr:row>13</xdr:row>
                    <xdr:rowOff>85725</xdr:rowOff>
                  </from>
                  <to>
                    <xdr:col>3</xdr:col>
                    <xdr:colOff>819150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4" name="Option Button 12">
              <controlPr defaultSize="0" autoFill="0" autoLine="0" autoPict="0">
                <anchor moveWithCells="1">
                  <from>
                    <xdr:col>1</xdr:col>
                    <xdr:colOff>447675</xdr:colOff>
                    <xdr:row>14</xdr:row>
                    <xdr:rowOff>104775</xdr:rowOff>
                  </from>
                  <to>
                    <xdr:col>1</xdr:col>
                    <xdr:colOff>1085850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5" name="Option Button 13">
              <controlPr defaultSize="0" autoFill="0" autoLine="0" autoPict="0">
                <anchor moveWithCells="1">
                  <from>
                    <xdr:col>1</xdr:col>
                    <xdr:colOff>1514475</xdr:colOff>
                    <xdr:row>14</xdr:row>
                    <xdr:rowOff>104775</xdr:rowOff>
                  </from>
                  <to>
                    <xdr:col>2</xdr:col>
                    <xdr:colOff>28575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6" name="Option Button 14">
              <controlPr defaultSize="0" autoFill="0" autoLine="0" autoPict="0">
                <anchor moveWithCells="1">
                  <from>
                    <xdr:col>3</xdr:col>
                    <xdr:colOff>180975</xdr:colOff>
                    <xdr:row>14</xdr:row>
                    <xdr:rowOff>104775</xdr:rowOff>
                  </from>
                  <to>
                    <xdr:col>3</xdr:col>
                    <xdr:colOff>819150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7" name="Drop Down 15">
              <controlPr defaultSize="0" autoLine="0" autoPict="0">
                <anchor moveWithCells="1">
                  <from>
                    <xdr:col>1</xdr:col>
                    <xdr:colOff>619125</xdr:colOff>
                    <xdr:row>17</xdr:row>
                    <xdr:rowOff>0</xdr:rowOff>
                  </from>
                  <to>
                    <xdr:col>1</xdr:col>
                    <xdr:colOff>2047875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8" name="Check Box 17">
              <controlPr defaultSize="0" autoFill="0" autoLine="0" autoPict="0">
                <anchor moveWithCells="1">
                  <from>
                    <xdr:col>2</xdr:col>
                    <xdr:colOff>600075</xdr:colOff>
                    <xdr:row>16</xdr:row>
                    <xdr:rowOff>171450</xdr:rowOff>
                  </from>
                  <to>
                    <xdr:col>3</xdr:col>
                    <xdr:colOff>1285875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221CA-6A63-495F-B5C7-5B7678384D15}">
  <sheetPr codeName="Sheet2"/>
  <dimension ref="A1:D39"/>
  <sheetViews>
    <sheetView topLeftCell="A17" workbookViewId="0">
      <selection activeCell="D6" sqref="D6"/>
    </sheetView>
  </sheetViews>
  <sheetFormatPr defaultRowHeight="14.25" x14ac:dyDescent="0.45"/>
  <cols>
    <col min="2" max="2" width="31.86328125" bestFit="1" customWidth="1"/>
    <col min="4" max="4" width="21.73046875" customWidth="1"/>
  </cols>
  <sheetData>
    <row r="1" spans="1:4" ht="35.25" customHeight="1" x14ac:dyDescent="0.7">
      <c r="A1" s="25" t="s">
        <v>0</v>
      </c>
      <c r="B1" s="25"/>
      <c r="C1" s="25"/>
      <c r="D1" s="25"/>
    </row>
    <row r="2" spans="1:4" ht="14.65" thickBot="1" x14ac:dyDescent="0.5"/>
    <row r="3" spans="1:4" ht="14.65" thickBot="1" x14ac:dyDescent="0.5">
      <c r="B3" s="2" t="s">
        <v>1</v>
      </c>
      <c r="D3" s="7">
        <v>250000</v>
      </c>
    </row>
    <row r="4" spans="1:4" ht="14.65" thickBot="1" x14ac:dyDescent="0.5"/>
    <row r="5" spans="1:4" ht="14.65" thickBot="1" x14ac:dyDescent="0.5">
      <c r="B5" s="2" t="s">
        <v>2</v>
      </c>
      <c r="D5" s="7">
        <v>65000</v>
      </c>
    </row>
    <row r="6" spans="1:4" ht="14.65" thickBot="1" x14ac:dyDescent="0.5"/>
    <row r="7" spans="1:4" ht="14.65" thickBot="1" x14ac:dyDescent="0.5">
      <c r="B7" s="2" t="s">
        <v>3</v>
      </c>
      <c r="D7" s="7">
        <f>D3-D5</f>
        <v>185000</v>
      </c>
    </row>
    <row r="9" spans="1:4" x14ac:dyDescent="0.45">
      <c r="B9" s="26"/>
      <c r="C9" s="26"/>
      <c r="D9" s="26"/>
    </row>
    <row r="10" spans="1:4" x14ac:dyDescent="0.45">
      <c r="B10" s="26"/>
      <c r="C10" s="26"/>
      <c r="D10" s="26"/>
    </row>
    <row r="11" spans="1:4" ht="14.65" thickBot="1" x14ac:dyDescent="0.5"/>
    <row r="12" spans="1:4" ht="14.65" thickBot="1" x14ac:dyDescent="0.5">
      <c r="B12" s="2" t="s">
        <v>5</v>
      </c>
      <c r="D12" s="7">
        <f>D35</f>
        <v>148000</v>
      </c>
    </row>
    <row r="13" spans="1:4" x14ac:dyDescent="0.45">
      <c r="B13" s="2"/>
    </row>
    <row r="14" spans="1:4" x14ac:dyDescent="0.45">
      <c r="B14" s="26"/>
      <c r="C14" s="26"/>
      <c r="D14" s="26"/>
    </row>
    <row r="15" spans="1:4" x14ac:dyDescent="0.45">
      <c r="B15" s="26"/>
      <c r="C15" s="26"/>
      <c r="D15" s="26"/>
    </row>
    <row r="16" spans="1:4" x14ac:dyDescent="0.45">
      <c r="B16" s="26"/>
      <c r="C16" s="26"/>
      <c r="D16" s="26"/>
    </row>
    <row r="18" spans="2:4" x14ac:dyDescent="0.45">
      <c r="B18" s="2" t="s">
        <v>7</v>
      </c>
    </row>
    <row r="19" spans="2:4" ht="14.65" thickBot="1" x14ac:dyDescent="0.5"/>
    <row r="20" spans="2:4" ht="14.65" thickBot="1" x14ac:dyDescent="0.5">
      <c r="B20" s="2" t="s">
        <v>8</v>
      </c>
      <c r="D20" s="7">
        <f>D36</f>
        <v>1429.0990215361649</v>
      </c>
    </row>
    <row r="21" spans="2:4" ht="14.65" thickBot="1" x14ac:dyDescent="0.5"/>
    <row r="22" spans="2:4" ht="14.65" thickBot="1" x14ac:dyDescent="0.5">
      <c r="B22" s="2" t="s">
        <v>9</v>
      </c>
      <c r="D22" s="7">
        <v>72000</v>
      </c>
    </row>
    <row r="25" spans="2:4" x14ac:dyDescent="0.45">
      <c r="B25" s="3" t="s">
        <v>10</v>
      </c>
      <c r="C25" s="3" t="s">
        <v>20</v>
      </c>
      <c r="D25" s="3" t="s">
        <v>21</v>
      </c>
    </row>
    <row r="26" spans="2:4" x14ac:dyDescent="0.45">
      <c r="B26" s="1" t="s">
        <v>1</v>
      </c>
      <c r="D26" s="8">
        <f>D3</f>
        <v>250000</v>
      </c>
    </row>
    <row r="27" spans="2:4" x14ac:dyDescent="0.45">
      <c r="B27" s="1" t="s">
        <v>11</v>
      </c>
      <c r="D27" s="8">
        <f>D5</f>
        <v>65000</v>
      </c>
    </row>
    <row r="28" spans="2:4" x14ac:dyDescent="0.45">
      <c r="B28" s="1" t="s">
        <v>4</v>
      </c>
      <c r="C28">
        <v>4</v>
      </c>
      <c r="D28" s="5">
        <f>C28*5%</f>
        <v>0.2</v>
      </c>
    </row>
    <row r="29" spans="2:4" x14ac:dyDescent="0.45">
      <c r="B29" s="1" t="s">
        <v>12</v>
      </c>
      <c r="C29">
        <v>2</v>
      </c>
      <c r="D29">
        <f>C29*5</f>
        <v>10</v>
      </c>
    </row>
    <row r="30" spans="2:4" x14ac:dyDescent="0.45">
      <c r="B30" s="1" t="s">
        <v>23</v>
      </c>
      <c r="D30" t="b">
        <v>0</v>
      </c>
    </row>
    <row r="31" spans="2:4" x14ac:dyDescent="0.45">
      <c r="B31" s="1" t="s">
        <v>13</v>
      </c>
      <c r="C31">
        <v>3</v>
      </c>
      <c r="D31" s="6">
        <f>(C31*0.5 + 1.5)/100</f>
        <v>0.03</v>
      </c>
    </row>
    <row r="32" spans="2:4" x14ac:dyDescent="0.45">
      <c r="B32" s="1" t="s">
        <v>14</v>
      </c>
      <c r="D32" s="8">
        <f>D22</f>
        <v>72000</v>
      </c>
    </row>
    <row r="35" spans="2:4" x14ac:dyDescent="0.45">
      <c r="B35" s="1" t="s">
        <v>15</v>
      </c>
      <c r="D35" s="8">
        <f>D7*(1-D28)</f>
        <v>148000</v>
      </c>
    </row>
    <row r="36" spans="2:4" x14ac:dyDescent="0.45">
      <c r="B36" s="1" t="s">
        <v>16</v>
      </c>
      <c r="D36" s="9">
        <f>-PMT(D31/12,D29*12,D35,IF(D30=TRUE,D35*-1,0))</f>
        <v>1429.0990215361649</v>
      </c>
    </row>
    <row r="37" spans="2:4" x14ac:dyDescent="0.45">
      <c r="B37" s="1" t="s">
        <v>17</v>
      </c>
      <c r="D37" s="8">
        <f>D36*D29*12</f>
        <v>171491.88258433979</v>
      </c>
    </row>
    <row r="38" spans="2:4" x14ac:dyDescent="0.45">
      <c r="B38" s="1" t="s">
        <v>18</v>
      </c>
      <c r="D38" s="8">
        <f>IF(D30,D37,D37-D35)</f>
        <v>23491.882584339794</v>
      </c>
    </row>
    <row r="39" spans="2:4" x14ac:dyDescent="0.45">
      <c r="B39" s="1" t="s">
        <v>19</v>
      </c>
      <c r="D39" s="6">
        <f>D36*12/D22</f>
        <v>0.23818317025602745</v>
      </c>
    </row>
  </sheetData>
  <mergeCells count="3">
    <mergeCell ref="A1:D1"/>
    <mergeCell ref="B9:D10"/>
    <mergeCell ref="B14:D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Group Box 1">
              <controlPr defaultSize="0" autoFill="0" autoPict="0">
                <anchor moveWithCells="1">
                  <from>
                    <xdr:col>1</xdr:col>
                    <xdr:colOff>9525</xdr:colOff>
                    <xdr:row>8</xdr:row>
                    <xdr:rowOff>0</xdr:rowOff>
                  </from>
                  <to>
                    <xdr:col>3</xdr:col>
                    <xdr:colOff>1228725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Group Box 2">
              <controlPr defaultSize="0" autoFill="0" autoPict="0">
                <anchor moveWithCells="1">
                  <from>
                    <xdr:col>1</xdr:col>
                    <xdr:colOff>9525</xdr:colOff>
                    <xdr:row>12</xdr:row>
                    <xdr:rowOff>180975</xdr:rowOff>
                  </from>
                  <to>
                    <xdr:col>3</xdr:col>
                    <xdr:colOff>1228725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Option Button 3">
              <controlPr defaultSize="0" autoFill="0" autoLine="0" autoPict="0">
                <anchor moveWithCells="1">
                  <from>
                    <xdr:col>1</xdr:col>
                    <xdr:colOff>114300</xdr:colOff>
                    <xdr:row>8</xdr:row>
                    <xdr:rowOff>66675</xdr:rowOff>
                  </from>
                  <to>
                    <xdr:col>1</xdr:col>
                    <xdr:colOff>609600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Option Button 4">
              <controlPr defaultSize="0" autoFill="0" autoLine="0" autoPict="0">
                <anchor moveWithCells="1">
                  <from>
                    <xdr:col>1</xdr:col>
                    <xdr:colOff>800100</xdr:colOff>
                    <xdr:row>8</xdr:row>
                    <xdr:rowOff>66675</xdr:rowOff>
                  </from>
                  <to>
                    <xdr:col>1</xdr:col>
                    <xdr:colOff>1314450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Option Button 5">
              <controlPr defaultSize="0" autoFill="0" autoLine="0" autoPict="0">
                <anchor moveWithCells="1">
                  <from>
                    <xdr:col>1</xdr:col>
                    <xdr:colOff>1495425</xdr:colOff>
                    <xdr:row>8</xdr:row>
                    <xdr:rowOff>76200</xdr:rowOff>
                  </from>
                  <to>
                    <xdr:col>1</xdr:col>
                    <xdr:colOff>1971675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Option Button 6">
              <controlPr defaultSize="0" autoFill="0" autoLine="0" autoPict="0">
                <anchor moveWithCells="1">
                  <from>
                    <xdr:col>2</xdr:col>
                    <xdr:colOff>28575</xdr:colOff>
                    <xdr:row>8</xdr:row>
                    <xdr:rowOff>76200</xdr:rowOff>
                  </from>
                  <to>
                    <xdr:col>2</xdr:col>
                    <xdr:colOff>514350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Option Button 7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85725</xdr:rowOff>
                  </from>
                  <to>
                    <xdr:col>3</xdr:col>
                    <xdr:colOff>552450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Option Button 8">
              <controlPr defaultSize="0" autoFill="0" autoLine="0" autoPict="0">
                <anchor moveWithCells="1">
                  <from>
                    <xdr:col>3</xdr:col>
                    <xdr:colOff>742950</xdr:colOff>
                    <xdr:row>8</xdr:row>
                    <xdr:rowOff>85725</xdr:rowOff>
                  </from>
                  <to>
                    <xdr:col>3</xdr:col>
                    <xdr:colOff>1190625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Option Button 9">
              <controlPr defaultSize="0" autoFill="0" autoLine="0" autoPict="0">
                <anchor moveWithCells="1">
                  <from>
                    <xdr:col>1</xdr:col>
                    <xdr:colOff>447675</xdr:colOff>
                    <xdr:row>13</xdr:row>
                    <xdr:rowOff>95250</xdr:rowOff>
                  </from>
                  <to>
                    <xdr:col>1</xdr:col>
                    <xdr:colOff>1085850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Option Button 10">
              <controlPr defaultSize="0" autoFill="0" autoLine="0" autoPict="0">
                <anchor moveWithCells="1">
                  <from>
                    <xdr:col>1</xdr:col>
                    <xdr:colOff>1514475</xdr:colOff>
                    <xdr:row>13</xdr:row>
                    <xdr:rowOff>85725</xdr:rowOff>
                  </from>
                  <to>
                    <xdr:col>2</xdr:col>
                    <xdr:colOff>28575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Option Button 11">
              <controlPr defaultSize="0" autoFill="0" autoLine="0" autoPict="0">
                <anchor moveWithCells="1">
                  <from>
                    <xdr:col>3</xdr:col>
                    <xdr:colOff>180975</xdr:colOff>
                    <xdr:row>13</xdr:row>
                    <xdr:rowOff>85725</xdr:rowOff>
                  </from>
                  <to>
                    <xdr:col>3</xdr:col>
                    <xdr:colOff>819150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Option Button 12">
              <controlPr defaultSize="0" autoFill="0" autoLine="0" autoPict="0">
                <anchor moveWithCells="1">
                  <from>
                    <xdr:col>1</xdr:col>
                    <xdr:colOff>447675</xdr:colOff>
                    <xdr:row>14</xdr:row>
                    <xdr:rowOff>104775</xdr:rowOff>
                  </from>
                  <to>
                    <xdr:col>1</xdr:col>
                    <xdr:colOff>1085850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Option Button 13">
              <controlPr defaultSize="0" autoFill="0" autoLine="0" autoPict="0">
                <anchor moveWithCells="1">
                  <from>
                    <xdr:col>1</xdr:col>
                    <xdr:colOff>1514475</xdr:colOff>
                    <xdr:row>14</xdr:row>
                    <xdr:rowOff>104775</xdr:rowOff>
                  </from>
                  <to>
                    <xdr:col>2</xdr:col>
                    <xdr:colOff>28575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Option Button 14">
              <controlPr defaultSize="0" autoFill="0" autoLine="0" autoPict="0">
                <anchor moveWithCells="1">
                  <from>
                    <xdr:col>3</xdr:col>
                    <xdr:colOff>180975</xdr:colOff>
                    <xdr:row>14</xdr:row>
                    <xdr:rowOff>104775</xdr:rowOff>
                  </from>
                  <to>
                    <xdr:col>3</xdr:col>
                    <xdr:colOff>819150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Drop Down 15">
              <controlPr defaultSize="0" autoLine="0" autoPict="0">
                <anchor moveWithCells="1">
                  <from>
                    <xdr:col>1</xdr:col>
                    <xdr:colOff>619125</xdr:colOff>
                    <xdr:row>17</xdr:row>
                    <xdr:rowOff>0</xdr:rowOff>
                  </from>
                  <to>
                    <xdr:col>1</xdr:col>
                    <xdr:colOff>2047875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Check Box 16">
              <controlPr defaultSize="0" autoFill="0" autoLine="0" autoPict="0">
                <anchor moveWithCells="1">
                  <from>
                    <xdr:col>2</xdr:col>
                    <xdr:colOff>600075</xdr:colOff>
                    <xdr:row>16</xdr:row>
                    <xdr:rowOff>171450</xdr:rowOff>
                  </from>
                  <to>
                    <xdr:col>3</xdr:col>
                    <xdr:colOff>1285875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5AC8F-8276-4C94-A4CB-F7A1C7FDAA78}">
  <sheetPr codeName="Sheet3"/>
  <dimension ref="A1:D39"/>
  <sheetViews>
    <sheetView topLeftCell="A17" workbookViewId="0">
      <selection activeCell="D6" sqref="D6"/>
    </sheetView>
  </sheetViews>
  <sheetFormatPr defaultRowHeight="14.25" x14ac:dyDescent="0.45"/>
  <cols>
    <col min="2" max="2" width="31.86328125" bestFit="1" customWidth="1"/>
    <col min="4" max="4" width="21.73046875" customWidth="1"/>
  </cols>
  <sheetData>
    <row r="1" spans="1:4" ht="35.25" customHeight="1" x14ac:dyDescent="0.7">
      <c r="A1" s="25" t="s">
        <v>0</v>
      </c>
      <c r="B1" s="25"/>
      <c r="C1" s="25"/>
      <c r="D1" s="25"/>
    </row>
    <row r="2" spans="1:4" ht="14.65" thickBot="1" x14ac:dyDescent="0.5"/>
    <row r="3" spans="1:4" ht="14.65" thickBot="1" x14ac:dyDescent="0.5">
      <c r="B3" s="2" t="s">
        <v>1</v>
      </c>
      <c r="D3" s="7">
        <v>250000</v>
      </c>
    </row>
    <row r="4" spans="1:4" ht="14.65" thickBot="1" x14ac:dyDescent="0.5"/>
    <row r="5" spans="1:4" ht="14.65" thickBot="1" x14ac:dyDescent="0.5">
      <c r="B5" s="2" t="s">
        <v>2</v>
      </c>
      <c r="D5" s="7">
        <v>65000</v>
      </c>
    </row>
    <row r="6" spans="1:4" ht="14.65" thickBot="1" x14ac:dyDescent="0.5"/>
    <row r="7" spans="1:4" ht="14.65" thickBot="1" x14ac:dyDescent="0.5">
      <c r="B7" s="2" t="s">
        <v>3</v>
      </c>
      <c r="D7" s="7">
        <f>D3-D5</f>
        <v>185000</v>
      </c>
    </row>
    <row r="9" spans="1:4" x14ac:dyDescent="0.45">
      <c r="B9" s="26"/>
      <c r="C9" s="26"/>
      <c r="D9" s="26"/>
    </row>
    <row r="10" spans="1:4" x14ac:dyDescent="0.45">
      <c r="B10" s="26"/>
      <c r="C10" s="26"/>
      <c r="D10" s="26"/>
    </row>
    <row r="11" spans="1:4" ht="14.65" thickBot="1" x14ac:dyDescent="0.5"/>
    <row r="12" spans="1:4" ht="14.65" thickBot="1" x14ac:dyDescent="0.5">
      <c r="B12" s="2" t="s">
        <v>5</v>
      </c>
      <c r="D12" s="7">
        <f>D35</f>
        <v>148000</v>
      </c>
    </row>
    <row r="13" spans="1:4" x14ac:dyDescent="0.45">
      <c r="B13" s="2"/>
    </row>
    <row r="14" spans="1:4" x14ac:dyDescent="0.45">
      <c r="B14" s="26"/>
      <c r="C14" s="26"/>
      <c r="D14" s="26"/>
    </row>
    <row r="15" spans="1:4" x14ac:dyDescent="0.45">
      <c r="B15" s="26"/>
      <c r="C15" s="26"/>
      <c r="D15" s="26"/>
    </row>
    <row r="16" spans="1:4" x14ac:dyDescent="0.45">
      <c r="B16" s="26"/>
      <c r="C16" s="26"/>
      <c r="D16" s="26"/>
    </row>
    <row r="18" spans="2:4" x14ac:dyDescent="0.45">
      <c r="B18" s="2" t="s">
        <v>7</v>
      </c>
    </row>
    <row r="19" spans="2:4" ht="14.65" thickBot="1" x14ac:dyDescent="0.5"/>
    <row r="20" spans="2:4" ht="14.65" thickBot="1" x14ac:dyDescent="0.5">
      <c r="B20" s="2" t="s">
        <v>8</v>
      </c>
      <c r="D20" s="7">
        <f>D36</f>
        <v>1429.0990215361649</v>
      </c>
    </row>
    <row r="21" spans="2:4" ht="14.65" thickBot="1" x14ac:dyDescent="0.5"/>
    <row r="22" spans="2:4" ht="14.65" thickBot="1" x14ac:dyDescent="0.5">
      <c r="B22" s="2" t="s">
        <v>9</v>
      </c>
      <c r="D22" s="7">
        <v>72000</v>
      </c>
    </row>
    <row r="25" spans="2:4" x14ac:dyDescent="0.45">
      <c r="B25" s="3" t="s">
        <v>10</v>
      </c>
      <c r="C25" s="3" t="s">
        <v>20</v>
      </c>
      <c r="D25" s="3" t="s">
        <v>21</v>
      </c>
    </row>
    <row r="26" spans="2:4" x14ac:dyDescent="0.45">
      <c r="B26" s="1" t="s">
        <v>1</v>
      </c>
      <c r="D26" s="8">
        <f>D3</f>
        <v>250000</v>
      </c>
    </row>
    <row r="27" spans="2:4" x14ac:dyDescent="0.45">
      <c r="B27" s="1" t="s">
        <v>11</v>
      </c>
      <c r="D27" s="8">
        <f>D5</f>
        <v>65000</v>
      </c>
    </row>
    <row r="28" spans="2:4" x14ac:dyDescent="0.45">
      <c r="B28" s="1" t="s">
        <v>4</v>
      </c>
      <c r="C28">
        <v>4</v>
      </c>
      <c r="D28" s="5">
        <f>C28*5%</f>
        <v>0.2</v>
      </c>
    </row>
    <row r="29" spans="2:4" x14ac:dyDescent="0.45">
      <c r="B29" s="1" t="s">
        <v>12</v>
      </c>
      <c r="C29">
        <v>2</v>
      </c>
      <c r="D29">
        <f>C29*5</f>
        <v>10</v>
      </c>
    </row>
    <row r="30" spans="2:4" x14ac:dyDescent="0.45">
      <c r="B30" s="1" t="s">
        <v>23</v>
      </c>
      <c r="D30" t="b">
        <v>0</v>
      </c>
    </row>
    <row r="31" spans="2:4" x14ac:dyDescent="0.45">
      <c r="B31" s="1" t="s">
        <v>13</v>
      </c>
      <c r="C31">
        <v>3</v>
      </c>
      <c r="D31" s="6">
        <f>(C31*0.5 + 1.5)/100</f>
        <v>0.03</v>
      </c>
    </row>
    <row r="32" spans="2:4" x14ac:dyDescent="0.45">
      <c r="B32" s="1" t="s">
        <v>14</v>
      </c>
      <c r="D32" s="8">
        <f>D22</f>
        <v>72000</v>
      </c>
    </row>
    <row r="35" spans="2:4" x14ac:dyDescent="0.45">
      <c r="B35" s="1" t="s">
        <v>15</v>
      </c>
      <c r="D35" s="8">
        <f>D7*(1-D28)</f>
        <v>148000</v>
      </c>
    </row>
    <row r="36" spans="2:4" x14ac:dyDescent="0.45">
      <c r="B36" s="1" t="s">
        <v>16</v>
      </c>
      <c r="D36" s="9">
        <f>-PMT(D31/12,D29*12,D35,IF(D30=TRUE,D35*-1,0))</f>
        <v>1429.0990215361649</v>
      </c>
    </row>
    <row r="37" spans="2:4" x14ac:dyDescent="0.45">
      <c r="B37" s="1" t="s">
        <v>17</v>
      </c>
      <c r="D37" s="8">
        <f>D36*D29*12</f>
        <v>171491.88258433979</v>
      </c>
    </row>
    <row r="38" spans="2:4" x14ac:dyDescent="0.45">
      <c r="B38" s="1" t="s">
        <v>18</v>
      </c>
      <c r="D38" s="8">
        <f>IF(D30,D37,D37-D35)</f>
        <v>23491.882584339794</v>
      </c>
    </row>
    <row r="39" spans="2:4" x14ac:dyDescent="0.45">
      <c r="B39" s="1" t="s">
        <v>19</v>
      </c>
      <c r="D39" s="6">
        <f>D36*12/D22</f>
        <v>0.23818317025602745</v>
      </c>
    </row>
  </sheetData>
  <mergeCells count="3">
    <mergeCell ref="A1:D1"/>
    <mergeCell ref="B9:D10"/>
    <mergeCell ref="B14:D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Group Box 1">
              <controlPr defaultSize="0" autoFill="0" autoPict="0">
                <anchor moveWithCells="1">
                  <from>
                    <xdr:col>1</xdr:col>
                    <xdr:colOff>9525</xdr:colOff>
                    <xdr:row>8</xdr:row>
                    <xdr:rowOff>0</xdr:rowOff>
                  </from>
                  <to>
                    <xdr:col>3</xdr:col>
                    <xdr:colOff>1228725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Group Box 2">
              <controlPr defaultSize="0" autoFill="0" autoPict="0">
                <anchor moveWithCells="1">
                  <from>
                    <xdr:col>1</xdr:col>
                    <xdr:colOff>9525</xdr:colOff>
                    <xdr:row>12</xdr:row>
                    <xdr:rowOff>180975</xdr:rowOff>
                  </from>
                  <to>
                    <xdr:col>3</xdr:col>
                    <xdr:colOff>1228725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Option Button 3">
              <controlPr defaultSize="0" autoFill="0" autoLine="0" autoPict="0">
                <anchor moveWithCells="1">
                  <from>
                    <xdr:col>1</xdr:col>
                    <xdr:colOff>114300</xdr:colOff>
                    <xdr:row>8</xdr:row>
                    <xdr:rowOff>66675</xdr:rowOff>
                  </from>
                  <to>
                    <xdr:col>1</xdr:col>
                    <xdr:colOff>609600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Option Button 4">
              <controlPr defaultSize="0" autoFill="0" autoLine="0" autoPict="0">
                <anchor moveWithCells="1">
                  <from>
                    <xdr:col>1</xdr:col>
                    <xdr:colOff>800100</xdr:colOff>
                    <xdr:row>8</xdr:row>
                    <xdr:rowOff>66675</xdr:rowOff>
                  </from>
                  <to>
                    <xdr:col>1</xdr:col>
                    <xdr:colOff>1314450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Option Button 5">
              <controlPr defaultSize="0" autoFill="0" autoLine="0" autoPict="0">
                <anchor moveWithCells="1">
                  <from>
                    <xdr:col>1</xdr:col>
                    <xdr:colOff>1495425</xdr:colOff>
                    <xdr:row>8</xdr:row>
                    <xdr:rowOff>76200</xdr:rowOff>
                  </from>
                  <to>
                    <xdr:col>1</xdr:col>
                    <xdr:colOff>1971675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Option Button 6">
              <controlPr defaultSize="0" autoFill="0" autoLine="0" autoPict="0">
                <anchor moveWithCells="1">
                  <from>
                    <xdr:col>2</xdr:col>
                    <xdr:colOff>28575</xdr:colOff>
                    <xdr:row>8</xdr:row>
                    <xdr:rowOff>76200</xdr:rowOff>
                  </from>
                  <to>
                    <xdr:col>2</xdr:col>
                    <xdr:colOff>514350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Option Button 7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85725</xdr:rowOff>
                  </from>
                  <to>
                    <xdr:col>3</xdr:col>
                    <xdr:colOff>552450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Option Button 8">
              <controlPr defaultSize="0" autoFill="0" autoLine="0" autoPict="0">
                <anchor moveWithCells="1">
                  <from>
                    <xdr:col>3</xdr:col>
                    <xdr:colOff>742950</xdr:colOff>
                    <xdr:row>8</xdr:row>
                    <xdr:rowOff>85725</xdr:rowOff>
                  </from>
                  <to>
                    <xdr:col>3</xdr:col>
                    <xdr:colOff>1190625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Option Button 9">
              <controlPr defaultSize="0" autoFill="0" autoLine="0" autoPict="0">
                <anchor moveWithCells="1">
                  <from>
                    <xdr:col>1</xdr:col>
                    <xdr:colOff>447675</xdr:colOff>
                    <xdr:row>13</xdr:row>
                    <xdr:rowOff>95250</xdr:rowOff>
                  </from>
                  <to>
                    <xdr:col>1</xdr:col>
                    <xdr:colOff>1085850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2" name="Option Button 10">
              <controlPr defaultSize="0" autoFill="0" autoLine="0" autoPict="0">
                <anchor moveWithCells="1">
                  <from>
                    <xdr:col>1</xdr:col>
                    <xdr:colOff>1514475</xdr:colOff>
                    <xdr:row>13</xdr:row>
                    <xdr:rowOff>85725</xdr:rowOff>
                  </from>
                  <to>
                    <xdr:col>2</xdr:col>
                    <xdr:colOff>28575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3" name="Option Button 11">
              <controlPr defaultSize="0" autoFill="0" autoLine="0" autoPict="0">
                <anchor moveWithCells="1">
                  <from>
                    <xdr:col>3</xdr:col>
                    <xdr:colOff>180975</xdr:colOff>
                    <xdr:row>13</xdr:row>
                    <xdr:rowOff>85725</xdr:rowOff>
                  </from>
                  <to>
                    <xdr:col>3</xdr:col>
                    <xdr:colOff>819150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4" name="Option Button 12">
              <controlPr defaultSize="0" autoFill="0" autoLine="0" autoPict="0">
                <anchor moveWithCells="1">
                  <from>
                    <xdr:col>1</xdr:col>
                    <xdr:colOff>447675</xdr:colOff>
                    <xdr:row>14</xdr:row>
                    <xdr:rowOff>104775</xdr:rowOff>
                  </from>
                  <to>
                    <xdr:col>1</xdr:col>
                    <xdr:colOff>1085850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5" name="Option Button 13">
              <controlPr defaultSize="0" autoFill="0" autoLine="0" autoPict="0">
                <anchor moveWithCells="1">
                  <from>
                    <xdr:col>1</xdr:col>
                    <xdr:colOff>1514475</xdr:colOff>
                    <xdr:row>14</xdr:row>
                    <xdr:rowOff>104775</xdr:rowOff>
                  </from>
                  <to>
                    <xdr:col>2</xdr:col>
                    <xdr:colOff>28575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6" name="Option Button 14">
              <controlPr defaultSize="0" autoFill="0" autoLine="0" autoPict="0">
                <anchor moveWithCells="1">
                  <from>
                    <xdr:col>3</xdr:col>
                    <xdr:colOff>180975</xdr:colOff>
                    <xdr:row>14</xdr:row>
                    <xdr:rowOff>104775</xdr:rowOff>
                  </from>
                  <to>
                    <xdr:col>3</xdr:col>
                    <xdr:colOff>819150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7" name="Drop Down 15">
              <controlPr defaultSize="0" autoLine="0" autoPict="0">
                <anchor moveWithCells="1">
                  <from>
                    <xdr:col>1</xdr:col>
                    <xdr:colOff>619125</xdr:colOff>
                    <xdr:row>17</xdr:row>
                    <xdr:rowOff>0</xdr:rowOff>
                  </from>
                  <to>
                    <xdr:col>1</xdr:col>
                    <xdr:colOff>2047875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8" name="Check Box 16">
              <controlPr defaultSize="0" autoFill="0" autoLine="0" autoPict="0">
                <anchor moveWithCells="1">
                  <from>
                    <xdr:col>2</xdr:col>
                    <xdr:colOff>600075</xdr:colOff>
                    <xdr:row>16</xdr:row>
                    <xdr:rowOff>171450</xdr:rowOff>
                  </from>
                  <to>
                    <xdr:col>3</xdr:col>
                    <xdr:colOff>1285875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E9835-ED5C-4386-A91E-1D5AAA20051C}">
  <sheetPr codeName="Sheet9"/>
  <dimension ref="A1:D39"/>
  <sheetViews>
    <sheetView topLeftCell="A17" workbookViewId="0">
      <selection activeCell="K30" sqref="K30"/>
    </sheetView>
  </sheetViews>
  <sheetFormatPr defaultRowHeight="14.25" x14ac:dyDescent="0.45"/>
  <cols>
    <col min="2" max="2" width="31.86328125" bestFit="1" customWidth="1"/>
    <col min="4" max="4" width="21.73046875" customWidth="1"/>
  </cols>
  <sheetData>
    <row r="1" spans="1:4" ht="35.25" customHeight="1" x14ac:dyDescent="0.7">
      <c r="A1" s="25" t="s">
        <v>0</v>
      </c>
      <c r="B1" s="25"/>
      <c r="C1" s="25"/>
      <c r="D1" s="25"/>
    </row>
    <row r="2" spans="1:4" ht="14.65" thickBot="1" x14ac:dyDescent="0.5"/>
    <row r="3" spans="1:4" ht="14.65" thickBot="1" x14ac:dyDescent="0.5">
      <c r="B3" s="2" t="s">
        <v>1</v>
      </c>
      <c r="D3" s="7">
        <v>250000</v>
      </c>
    </row>
    <row r="4" spans="1:4" ht="14.65" thickBot="1" x14ac:dyDescent="0.5"/>
    <row r="5" spans="1:4" ht="14.65" thickBot="1" x14ac:dyDescent="0.5">
      <c r="B5" s="2" t="s">
        <v>2</v>
      </c>
      <c r="D5" s="7">
        <v>65000</v>
      </c>
    </row>
    <row r="6" spans="1:4" ht="14.65" thickBot="1" x14ac:dyDescent="0.5"/>
    <row r="7" spans="1:4" ht="14.65" thickBot="1" x14ac:dyDescent="0.5">
      <c r="B7" s="2" t="s">
        <v>3</v>
      </c>
      <c r="D7" s="7">
        <f>D3-D5</f>
        <v>185000</v>
      </c>
    </row>
    <row r="9" spans="1:4" x14ac:dyDescent="0.45">
      <c r="B9" s="26"/>
      <c r="C9" s="26"/>
      <c r="D9" s="26"/>
    </row>
    <row r="10" spans="1:4" x14ac:dyDescent="0.45">
      <c r="B10" s="26"/>
      <c r="C10" s="26"/>
      <c r="D10" s="26"/>
    </row>
    <row r="11" spans="1:4" ht="14.65" thickBot="1" x14ac:dyDescent="0.5"/>
    <row r="12" spans="1:4" ht="14.65" thickBot="1" x14ac:dyDescent="0.5">
      <c r="B12" s="2" t="s">
        <v>5</v>
      </c>
      <c r="D12" s="7">
        <f>D35</f>
        <v>148000</v>
      </c>
    </row>
    <row r="13" spans="1:4" x14ac:dyDescent="0.45">
      <c r="B13" s="2"/>
    </row>
    <row r="14" spans="1:4" x14ac:dyDescent="0.45">
      <c r="B14" s="26"/>
      <c r="C14" s="26"/>
      <c r="D14" s="26"/>
    </row>
    <row r="15" spans="1:4" x14ac:dyDescent="0.45">
      <c r="B15" s="26"/>
      <c r="C15" s="26"/>
      <c r="D15" s="26"/>
    </row>
    <row r="16" spans="1:4" x14ac:dyDescent="0.45">
      <c r="B16" s="26"/>
      <c r="C16" s="26"/>
      <c r="D16" s="26"/>
    </row>
    <row r="18" spans="2:4" x14ac:dyDescent="0.45">
      <c r="B18" s="2" t="s">
        <v>7</v>
      </c>
    </row>
    <row r="19" spans="2:4" ht="14.65" thickBot="1" x14ac:dyDescent="0.5"/>
    <row r="20" spans="2:4" ht="14.65" thickBot="1" x14ac:dyDescent="0.5">
      <c r="B20" s="2" t="s">
        <v>8</v>
      </c>
      <c r="D20" s="7">
        <f>D36</f>
        <v>1429.0990215361649</v>
      </c>
    </row>
    <row r="21" spans="2:4" ht="14.65" thickBot="1" x14ac:dyDescent="0.5"/>
    <row r="22" spans="2:4" ht="14.65" thickBot="1" x14ac:dyDescent="0.5">
      <c r="B22" s="2" t="s">
        <v>9</v>
      </c>
      <c r="D22" s="7">
        <v>72000</v>
      </c>
    </row>
    <row r="25" spans="2:4" x14ac:dyDescent="0.45">
      <c r="B25" s="3" t="s">
        <v>10</v>
      </c>
      <c r="C25" s="3" t="s">
        <v>20</v>
      </c>
      <c r="D25" s="3" t="s">
        <v>21</v>
      </c>
    </row>
    <row r="26" spans="2:4" x14ac:dyDescent="0.45">
      <c r="B26" s="1" t="s">
        <v>1</v>
      </c>
      <c r="D26" s="8">
        <f>D3</f>
        <v>250000</v>
      </c>
    </row>
    <row r="27" spans="2:4" x14ac:dyDescent="0.45">
      <c r="B27" s="1" t="s">
        <v>11</v>
      </c>
      <c r="D27" s="8">
        <f>D5</f>
        <v>65000</v>
      </c>
    </row>
    <row r="28" spans="2:4" x14ac:dyDescent="0.45">
      <c r="B28" s="1" t="s">
        <v>4</v>
      </c>
      <c r="C28">
        <v>4</v>
      </c>
      <c r="D28" s="5">
        <f>C28*5%</f>
        <v>0.2</v>
      </c>
    </row>
    <row r="29" spans="2:4" x14ac:dyDescent="0.45">
      <c r="B29" s="1" t="s">
        <v>12</v>
      </c>
      <c r="C29">
        <v>2</v>
      </c>
      <c r="D29">
        <f>C29*5</f>
        <v>10</v>
      </c>
    </row>
    <row r="30" spans="2:4" x14ac:dyDescent="0.45">
      <c r="B30" s="1" t="s">
        <v>23</v>
      </c>
      <c r="D30" t="b">
        <v>0</v>
      </c>
    </row>
    <row r="31" spans="2:4" x14ac:dyDescent="0.45">
      <c r="B31" s="1" t="s">
        <v>13</v>
      </c>
      <c r="C31">
        <v>3</v>
      </c>
      <c r="D31" s="6">
        <f>(C31*0.5 + 1.5)/100</f>
        <v>0.03</v>
      </c>
    </row>
    <row r="32" spans="2:4" x14ac:dyDescent="0.45">
      <c r="B32" s="1" t="s">
        <v>14</v>
      </c>
      <c r="D32" s="8">
        <f>D22</f>
        <v>72000</v>
      </c>
    </row>
    <row r="35" spans="2:4" x14ac:dyDescent="0.45">
      <c r="B35" s="1" t="s">
        <v>15</v>
      </c>
      <c r="D35" s="8">
        <f>D7*(1-D28)</f>
        <v>148000</v>
      </c>
    </row>
    <row r="36" spans="2:4" x14ac:dyDescent="0.45">
      <c r="B36" s="1" t="s">
        <v>16</v>
      </c>
      <c r="D36" s="9">
        <f>-PMT(D31/12,D29*12,D35,IF(D30=TRUE,D35*-1,0))</f>
        <v>1429.0990215361649</v>
      </c>
    </row>
    <row r="37" spans="2:4" x14ac:dyDescent="0.45">
      <c r="B37" s="1" t="s">
        <v>17</v>
      </c>
      <c r="D37" s="8">
        <f>D36*D29*12</f>
        <v>171491.88258433979</v>
      </c>
    </row>
    <row r="38" spans="2:4" x14ac:dyDescent="0.45">
      <c r="B38" s="1" t="s">
        <v>18</v>
      </c>
      <c r="D38" s="8">
        <f>IF(D30,D37,D37-D35)</f>
        <v>23491.882584339794</v>
      </c>
    </row>
    <row r="39" spans="2:4" x14ac:dyDescent="0.45">
      <c r="B39" s="1" t="s">
        <v>19</v>
      </c>
      <c r="D39" s="6">
        <f>D36*12/D22</f>
        <v>0.23818317025602745</v>
      </c>
    </row>
  </sheetData>
  <mergeCells count="3">
    <mergeCell ref="A1:D1"/>
    <mergeCell ref="B9:D10"/>
    <mergeCell ref="B14:D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Group Box 1">
              <controlPr defaultSize="0" autoFill="0" autoPict="0">
                <anchor moveWithCells="1">
                  <from>
                    <xdr:col>1</xdr:col>
                    <xdr:colOff>9525</xdr:colOff>
                    <xdr:row>8</xdr:row>
                    <xdr:rowOff>0</xdr:rowOff>
                  </from>
                  <to>
                    <xdr:col>3</xdr:col>
                    <xdr:colOff>1228725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Group Box 2">
              <controlPr defaultSize="0" autoFill="0" autoPict="0">
                <anchor moveWithCells="1">
                  <from>
                    <xdr:col>1</xdr:col>
                    <xdr:colOff>9525</xdr:colOff>
                    <xdr:row>12</xdr:row>
                    <xdr:rowOff>180975</xdr:rowOff>
                  </from>
                  <to>
                    <xdr:col>3</xdr:col>
                    <xdr:colOff>1228725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Option Button 3">
              <controlPr defaultSize="0" autoFill="0" autoLine="0" autoPict="0">
                <anchor moveWithCells="1">
                  <from>
                    <xdr:col>1</xdr:col>
                    <xdr:colOff>114300</xdr:colOff>
                    <xdr:row>8</xdr:row>
                    <xdr:rowOff>66675</xdr:rowOff>
                  </from>
                  <to>
                    <xdr:col>1</xdr:col>
                    <xdr:colOff>609600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Option Button 4">
              <controlPr defaultSize="0" autoFill="0" autoLine="0" autoPict="0">
                <anchor moveWithCells="1">
                  <from>
                    <xdr:col>1</xdr:col>
                    <xdr:colOff>800100</xdr:colOff>
                    <xdr:row>8</xdr:row>
                    <xdr:rowOff>66675</xdr:rowOff>
                  </from>
                  <to>
                    <xdr:col>1</xdr:col>
                    <xdr:colOff>1314450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Option Button 5">
              <controlPr defaultSize="0" autoFill="0" autoLine="0" autoPict="0">
                <anchor moveWithCells="1">
                  <from>
                    <xdr:col>1</xdr:col>
                    <xdr:colOff>1495425</xdr:colOff>
                    <xdr:row>8</xdr:row>
                    <xdr:rowOff>76200</xdr:rowOff>
                  </from>
                  <to>
                    <xdr:col>1</xdr:col>
                    <xdr:colOff>1971675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Option Button 6">
              <controlPr defaultSize="0" autoFill="0" autoLine="0" autoPict="0">
                <anchor moveWithCells="1">
                  <from>
                    <xdr:col>2</xdr:col>
                    <xdr:colOff>28575</xdr:colOff>
                    <xdr:row>8</xdr:row>
                    <xdr:rowOff>76200</xdr:rowOff>
                  </from>
                  <to>
                    <xdr:col>2</xdr:col>
                    <xdr:colOff>514350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Option Button 7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85725</xdr:rowOff>
                  </from>
                  <to>
                    <xdr:col>3</xdr:col>
                    <xdr:colOff>552450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Option Button 8">
              <controlPr defaultSize="0" autoFill="0" autoLine="0" autoPict="0">
                <anchor moveWithCells="1">
                  <from>
                    <xdr:col>3</xdr:col>
                    <xdr:colOff>742950</xdr:colOff>
                    <xdr:row>8</xdr:row>
                    <xdr:rowOff>85725</xdr:rowOff>
                  </from>
                  <to>
                    <xdr:col>3</xdr:col>
                    <xdr:colOff>1190625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Option Button 9">
              <controlPr defaultSize="0" autoFill="0" autoLine="0" autoPict="0">
                <anchor moveWithCells="1">
                  <from>
                    <xdr:col>1</xdr:col>
                    <xdr:colOff>447675</xdr:colOff>
                    <xdr:row>13</xdr:row>
                    <xdr:rowOff>95250</xdr:rowOff>
                  </from>
                  <to>
                    <xdr:col>1</xdr:col>
                    <xdr:colOff>1085850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Option Button 10">
              <controlPr defaultSize="0" autoFill="0" autoLine="0" autoPict="0">
                <anchor moveWithCells="1">
                  <from>
                    <xdr:col>1</xdr:col>
                    <xdr:colOff>1514475</xdr:colOff>
                    <xdr:row>13</xdr:row>
                    <xdr:rowOff>85725</xdr:rowOff>
                  </from>
                  <to>
                    <xdr:col>2</xdr:col>
                    <xdr:colOff>28575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3" name="Option Button 11">
              <controlPr defaultSize="0" autoFill="0" autoLine="0" autoPict="0">
                <anchor moveWithCells="1">
                  <from>
                    <xdr:col>3</xdr:col>
                    <xdr:colOff>180975</xdr:colOff>
                    <xdr:row>13</xdr:row>
                    <xdr:rowOff>85725</xdr:rowOff>
                  </from>
                  <to>
                    <xdr:col>3</xdr:col>
                    <xdr:colOff>819150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4" name="Option Button 12">
              <controlPr defaultSize="0" autoFill="0" autoLine="0" autoPict="0">
                <anchor moveWithCells="1">
                  <from>
                    <xdr:col>1</xdr:col>
                    <xdr:colOff>447675</xdr:colOff>
                    <xdr:row>14</xdr:row>
                    <xdr:rowOff>104775</xdr:rowOff>
                  </from>
                  <to>
                    <xdr:col>1</xdr:col>
                    <xdr:colOff>1085850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5" name="Option Button 13">
              <controlPr defaultSize="0" autoFill="0" autoLine="0" autoPict="0">
                <anchor moveWithCells="1">
                  <from>
                    <xdr:col>1</xdr:col>
                    <xdr:colOff>1514475</xdr:colOff>
                    <xdr:row>14</xdr:row>
                    <xdr:rowOff>104775</xdr:rowOff>
                  </from>
                  <to>
                    <xdr:col>2</xdr:col>
                    <xdr:colOff>28575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6" name="Option Button 14">
              <controlPr defaultSize="0" autoFill="0" autoLine="0" autoPict="0">
                <anchor moveWithCells="1">
                  <from>
                    <xdr:col>3</xdr:col>
                    <xdr:colOff>180975</xdr:colOff>
                    <xdr:row>14</xdr:row>
                    <xdr:rowOff>104775</xdr:rowOff>
                  </from>
                  <to>
                    <xdr:col>3</xdr:col>
                    <xdr:colOff>819150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7" name="Drop Down 15">
              <controlPr defaultSize="0" autoLine="0" autoPict="0">
                <anchor moveWithCells="1">
                  <from>
                    <xdr:col>1</xdr:col>
                    <xdr:colOff>619125</xdr:colOff>
                    <xdr:row>17</xdr:row>
                    <xdr:rowOff>0</xdr:rowOff>
                  </from>
                  <to>
                    <xdr:col>1</xdr:col>
                    <xdr:colOff>2047875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8" name="Check Box 16">
              <controlPr defaultSize="0" autoFill="0" autoLine="0" autoPict="0">
                <anchor moveWithCells="1">
                  <from>
                    <xdr:col>2</xdr:col>
                    <xdr:colOff>600075</xdr:colOff>
                    <xdr:row>16</xdr:row>
                    <xdr:rowOff>171450</xdr:rowOff>
                  </from>
                  <to>
                    <xdr:col>3</xdr:col>
                    <xdr:colOff>1285875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449F6-4C63-464C-AE6B-CAD1F9B8C48D}">
  <sheetPr codeName="Sheet10"/>
  <dimension ref="A1:L39"/>
  <sheetViews>
    <sheetView topLeftCell="B1" workbookViewId="0">
      <selection activeCell="J15" sqref="J15"/>
    </sheetView>
  </sheetViews>
  <sheetFormatPr defaultRowHeight="14.25" x14ac:dyDescent="0.45"/>
  <cols>
    <col min="2" max="2" width="31.86328125" bestFit="1" customWidth="1"/>
    <col min="4" max="4" width="21.73046875" customWidth="1"/>
    <col min="8" max="12" width="15.59765625" customWidth="1"/>
  </cols>
  <sheetData>
    <row r="1" spans="1:12" ht="45" customHeight="1" x14ac:dyDescent="0.7">
      <c r="A1" s="25" t="s">
        <v>0</v>
      </c>
      <c r="B1" s="25"/>
      <c r="C1" s="25"/>
      <c r="D1" s="25"/>
      <c r="H1" t="s">
        <v>13</v>
      </c>
      <c r="I1" s="10" t="s">
        <v>24</v>
      </c>
      <c r="J1" s="10" t="s">
        <v>27</v>
      </c>
      <c r="K1" s="10" t="s">
        <v>25</v>
      </c>
      <c r="L1" s="10" t="s">
        <v>26</v>
      </c>
    </row>
    <row r="2" spans="1:12" ht="14.65" thickBot="1" x14ac:dyDescent="0.5">
      <c r="H2" s="6">
        <f>(C31*0.5 + 1.5)/100</f>
        <v>0.03</v>
      </c>
      <c r="I2" s="8">
        <f>D20</f>
        <v>1429.0990215361649</v>
      </c>
      <c r="J2" s="6">
        <f>D39</f>
        <v>0.23818317025602745</v>
      </c>
      <c r="K2" s="8">
        <f>D37</f>
        <v>171491.88258433979</v>
      </c>
      <c r="L2" s="8">
        <f>D38</f>
        <v>23491.882584339794</v>
      </c>
    </row>
    <row r="3" spans="1:12" ht="14.65" thickBot="1" x14ac:dyDescent="0.5">
      <c r="B3" s="2" t="s">
        <v>1</v>
      </c>
      <c r="D3" s="7">
        <v>250000</v>
      </c>
      <c r="H3" s="6">
        <f>H2+0.01</f>
        <v>0.04</v>
      </c>
      <c r="I3" s="8">
        <f t="dataTable" ref="I3:L7" dt2D="0" dtr="0" r1="D31"/>
        <v>1498.428044840246</v>
      </c>
      <c r="J3" s="6">
        <v>0.24973800747337432</v>
      </c>
      <c r="K3" s="8">
        <v>179811.36538082952</v>
      </c>
      <c r="L3" s="8">
        <v>31811.36538082952</v>
      </c>
    </row>
    <row r="4" spans="1:12" ht="14.65" thickBot="1" x14ac:dyDescent="0.5">
      <c r="H4" s="6">
        <f t="shared" ref="H4:H7" si="0">H3+0.01</f>
        <v>0.05</v>
      </c>
      <c r="I4" s="8">
        <v>1569.7696255383134</v>
      </c>
      <c r="J4" s="6">
        <v>0.26162827092305224</v>
      </c>
      <c r="K4" s="8">
        <v>188372.35506459762</v>
      </c>
      <c r="L4" s="8">
        <v>40372.355064597621</v>
      </c>
    </row>
    <row r="5" spans="1:12" ht="14.65" thickBot="1" x14ac:dyDescent="0.5">
      <c r="B5" s="2" t="s">
        <v>2</v>
      </c>
      <c r="D5" s="7">
        <v>65000</v>
      </c>
      <c r="H5" s="6">
        <f t="shared" si="0"/>
        <v>6.0000000000000005E-2</v>
      </c>
      <c r="I5" s="8">
        <v>1643.1034287364118</v>
      </c>
      <c r="J5" s="6">
        <v>0.27385057145606861</v>
      </c>
      <c r="K5" s="8">
        <v>197172.41144836944</v>
      </c>
      <c r="L5" s="8">
        <v>49172.411448369443</v>
      </c>
    </row>
    <row r="6" spans="1:12" ht="14.65" thickBot="1" x14ac:dyDescent="0.5">
      <c r="H6" s="6">
        <f t="shared" si="0"/>
        <v>7.0000000000000007E-2</v>
      </c>
      <c r="I6" s="8">
        <v>1718.405492435636</v>
      </c>
      <c r="J6" s="6">
        <v>0.28640091540593932</v>
      </c>
      <c r="K6" s="8">
        <v>206208.6590922763</v>
      </c>
      <c r="L6" s="8">
        <v>58208.659092276299</v>
      </c>
    </row>
    <row r="7" spans="1:12" ht="14.65" thickBot="1" x14ac:dyDescent="0.5">
      <c r="B7" s="2" t="s">
        <v>3</v>
      </c>
      <c r="D7" s="7">
        <f>D3-D5</f>
        <v>185000</v>
      </c>
      <c r="H7" s="6">
        <f t="shared" si="0"/>
        <v>0.08</v>
      </c>
      <c r="I7" s="8">
        <v>1795.6483964592826</v>
      </c>
      <c r="J7" s="6">
        <v>0.29927473274321376</v>
      </c>
      <c r="K7" s="8">
        <v>215477.8075751139</v>
      </c>
      <c r="L7" s="8">
        <v>67477.807575113897</v>
      </c>
    </row>
    <row r="9" spans="1:12" x14ac:dyDescent="0.45">
      <c r="B9" s="26"/>
      <c r="C9" s="26"/>
      <c r="D9" s="26"/>
    </row>
    <row r="10" spans="1:12" x14ac:dyDescent="0.45">
      <c r="B10" s="26"/>
      <c r="C10" s="26"/>
      <c r="D10" s="26"/>
    </row>
    <row r="11" spans="1:12" ht="14.65" thickBot="1" x14ac:dyDescent="0.5"/>
    <row r="12" spans="1:12" ht="14.65" thickBot="1" x14ac:dyDescent="0.5">
      <c r="B12" s="2" t="s">
        <v>5</v>
      </c>
      <c r="D12" s="7">
        <f>D35</f>
        <v>148000</v>
      </c>
    </row>
    <row r="13" spans="1:12" x14ac:dyDescent="0.45">
      <c r="B13" s="2"/>
    </row>
    <row r="14" spans="1:12" x14ac:dyDescent="0.45">
      <c r="B14" s="26"/>
      <c r="C14" s="26"/>
      <c r="D14" s="26"/>
    </row>
    <row r="15" spans="1:12" x14ac:dyDescent="0.45">
      <c r="B15" s="26"/>
      <c r="C15" s="26"/>
      <c r="D15" s="26"/>
    </row>
    <row r="16" spans="1:12" x14ac:dyDescent="0.45">
      <c r="B16" s="26"/>
      <c r="C16" s="26"/>
      <c r="D16" s="26"/>
    </row>
    <row r="18" spans="2:4" x14ac:dyDescent="0.45">
      <c r="B18" s="2" t="s">
        <v>7</v>
      </c>
    </row>
    <row r="19" spans="2:4" ht="14.65" thickBot="1" x14ac:dyDescent="0.5"/>
    <row r="20" spans="2:4" ht="14.65" thickBot="1" x14ac:dyDescent="0.5">
      <c r="B20" s="2" t="s">
        <v>8</v>
      </c>
      <c r="D20" s="7">
        <f>D36</f>
        <v>1429.0990215361649</v>
      </c>
    </row>
    <row r="21" spans="2:4" ht="14.65" thickBot="1" x14ac:dyDescent="0.5"/>
    <row r="22" spans="2:4" ht="14.65" thickBot="1" x14ac:dyDescent="0.5">
      <c r="B22" s="2" t="s">
        <v>9</v>
      </c>
      <c r="D22" s="7">
        <v>72000</v>
      </c>
    </row>
    <row r="25" spans="2:4" x14ac:dyDescent="0.45">
      <c r="B25" s="3" t="s">
        <v>10</v>
      </c>
      <c r="C25" s="3" t="s">
        <v>20</v>
      </c>
      <c r="D25" s="3" t="s">
        <v>21</v>
      </c>
    </row>
    <row r="26" spans="2:4" x14ac:dyDescent="0.45">
      <c r="B26" s="1" t="s">
        <v>1</v>
      </c>
      <c r="D26" s="8">
        <f>D3</f>
        <v>250000</v>
      </c>
    </row>
    <row r="27" spans="2:4" x14ac:dyDescent="0.45">
      <c r="B27" s="1" t="s">
        <v>11</v>
      </c>
      <c r="D27" s="8">
        <f>D5</f>
        <v>65000</v>
      </c>
    </row>
    <row r="28" spans="2:4" x14ac:dyDescent="0.45">
      <c r="B28" s="1" t="s">
        <v>4</v>
      </c>
      <c r="C28">
        <v>4</v>
      </c>
      <c r="D28" s="5">
        <f>C28*5%</f>
        <v>0.2</v>
      </c>
    </row>
    <row r="29" spans="2:4" x14ac:dyDescent="0.45">
      <c r="B29" s="1" t="s">
        <v>12</v>
      </c>
      <c r="C29">
        <v>2</v>
      </c>
      <c r="D29">
        <f>C29*5</f>
        <v>10</v>
      </c>
    </row>
    <row r="30" spans="2:4" x14ac:dyDescent="0.45">
      <c r="B30" s="1" t="s">
        <v>23</v>
      </c>
      <c r="D30" t="b">
        <v>0</v>
      </c>
    </row>
    <row r="31" spans="2:4" x14ac:dyDescent="0.45">
      <c r="B31" s="1" t="s">
        <v>13</v>
      </c>
      <c r="C31">
        <v>3</v>
      </c>
      <c r="D31" s="6">
        <f>(C31*0.5 + 1.5)/100</f>
        <v>0.03</v>
      </c>
    </row>
    <row r="32" spans="2:4" x14ac:dyDescent="0.45">
      <c r="B32" s="1" t="s">
        <v>14</v>
      </c>
      <c r="D32" s="8">
        <f>D22</f>
        <v>72000</v>
      </c>
    </row>
    <row r="35" spans="2:4" x14ac:dyDescent="0.45">
      <c r="B35" s="1" t="s">
        <v>15</v>
      </c>
      <c r="D35" s="8">
        <f>D7*(1-D28)</f>
        <v>148000</v>
      </c>
    </row>
    <row r="36" spans="2:4" x14ac:dyDescent="0.45">
      <c r="B36" s="1" t="s">
        <v>16</v>
      </c>
      <c r="D36" s="9">
        <f>-PMT(D31/12,D29*12,D35,IF(D30=TRUE,D35*-1,0))</f>
        <v>1429.0990215361649</v>
      </c>
    </row>
    <row r="37" spans="2:4" x14ac:dyDescent="0.45">
      <c r="B37" s="1" t="s">
        <v>17</v>
      </c>
      <c r="D37" s="8">
        <f>D36*D29*12</f>
        <v>171491.88258433979</v>
      </c>
    </row>
    <row r="38" spans="2:4" x14ac:dyDescent="0.45">
      <c r="B38" s="1" t="s">
        <v>18</v>
      </c>
      <c r="D38" s="8">
        <f>IF(D30,D37,D37-D35)</f>
        <v>23491.882584339794</v>
      </c>
    </row>
    <row r="39" spans="2:4" x14ac:dyDescent="0.45">
      <c r="B39" s="1" t="s">
        <v>19</v>
      </c>
      <c r="D39" s="6">
        <f>D36*12/D22</f>
        <v>0.23818317025602745</v>
      </c>
    </row>
  </sheetData>
  <mergeCells count="3">
    <mergeCell ref="A1:D1"/>
    <mergeCell ref="B9:D10"/>
    <mergeCell ref="B14:D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Group Box 1">
              <controlPr defaultSize="0" autoFill="0" autoPict="0">
                <anchor moveWithCells="1">
                  <from>
                    <xdr:col>1</xdr:col>
                    <xdr:colOff>9525</xdr:colOff>
                    <xdr:row>8</xdr:row>
                    <xdr:rowOff>0</xdr:rowOff>
                  </from>
                  <to>
                    <xdr:col>3</xdr:col>
                    <xdr:colOff>1228725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Group Box 2">
              <controlPr defaultSize="0" autoFill="0" autoPict="0">
                <anchor moveWithCells="1">
                  <from>
                    <xdr:col>1</xdr:col>
                    <xdr:colOff>9525</xdr:colOff>
                    <xdr:row>12</xdr:row>
                    <xdr:rowOff>180975</xdr:rowOff>
                  </from>
                  <to>
                    <xdr:col>3</xdr:col>
                    <xdr:colOff>1228725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Option Button 3">
              <controlPr defaultSize="0" autoFill="0" autoLine="0" autoPict="0">
                <anchor moveWithCells="1">
                  <from>
                    <xdr:col>1</xdr:col>
                    <xdr:colOff>114300</xdr:colOff>
                    <xdr:row>8</xdr:row>
                    <xdr:rowOff>66675</xdr:rowOff>
                  </from>
                  <to>
                    <xdr:col>1</xdr:col>
                    <xdr:colOff>609600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Option Button 4">
              <controlPr defaultSize="0" autoFill="0" autoLine="0" autoPict="0">
                <anchor moveWithCells="1">
                  <from>
                    <xdr:col>1</xdr:col>
                    <xdr:colOff>800100</xdr:colOff>
                    <xdr:row>8</xdr:row>
                    <xdr:rowOff>66675</xdr:rowOff>
                  </from>
                  <to>
                    <xdr:col>1</xdr:col>
                    <xdr:colOff>1314450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Option Button 5">
              <controlPr defaultSize="0" autoFill="0" autoLine="0" autoPict="0">
                <anchor moveWithCells="1">
                  <from>
                    <xdr:col>1</xdr:col>
                    <xdr:colOff>1495425</xdr:colOff>
                    <xdr:row>8</xdr:row>
                    <xdr:rowOff>76200</xdr:rowOff>
                  </from>
                  <to>
                    <xdr:col>1</xdr:col>
                    <xdr:colOff>1971675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Option Button 6">
              <controlPr defaultSize="0" autoFill="0" autoLine="0" autoPict="0">
                <anchor moveWithCells="1">
                  <from>
                    <xdr:col>2</xdr:col>
                    <xdr:colOff>28575</xdr:colOff>
                    <xdr:row>8</xdr:row>
                    <xdr:rowOff>76200</xdr:rowOff>
                  </from>
                  <to>
                    <xdr:col>2</xdr:col>
                    <xdr:colOff>514350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Option Button 7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85725</xdr:rowOff>
                  </from>
                  <to>
                    <xdr:col>3</xdr:col>
                    <xdr:colOff>552450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Option Button 8">
              <controlPr defaultSize="0" autoFill="0" autoLine="0" autoPict="0">
                <anchor moveWithCells="1">
                  <from>
                    <xdr:col>3</xdr:col>
                    <xdr:colOff>742950</xdr:colOff>
                    <xdr:row>8</xdr:row>
                    <xdr:rowOff>85725</xdr:rowOff>
                  </from>
                  <to>
                    <xdr:col>3</xdr:col>
                    <xdr:colOff>1190625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1" name="Option Button 9">
              <controlPr defaultSize="0" autoFill="0" autoLine="0" autoPict="0">
                <anchor moveWithCells="1">
                  <from>
                    <xdr:col>1</xdr:col>
                    <xdr:colOff>447675</xdr:colOff>
                    <xdr:row>13</xdr:row>
                    <xdr:rowOff>95250</xdr:rowOff>
                  </from>
                  <to>
                    <xdr:col>1</xdr:col>
                    <xdr:colOff>1085850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2" name="Option Button 10">
              <controlPr defaultSize="0" autoFill="0" autoLine="0" autoPict="0">
                <anchor moveWithCells="1">
                  <from>
                    <xdr:col>1</xdr:col>
                    <xdr:colOff>1514475</xdr:colOff>
                    <xdr:row>13</xdr:row>
                    <xdr:rowOff>85725</xdr:rowOff>
                  </from>
                  <to>
                    <xdr:col>2</xdr:col>
                    <xdr:colOff>28575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3" name="Option Button 11">
              <controlPr defaultSize="0" autoFill="0" autoLine="0" autoPict="0">
                <anchor moveWithCells="1">
                  <from>
                    <xdr:col>3</xdr:col>
                    <xdr:colOff>180975</xdr:colOff>
                    <xdr:row>13</xdr:row>
                    <xdr:rowOff>85725</xdr:rowOff>
                  </from>
                  <to>
                    <xdr:col>3</xdr:col>
                    <xdr:colOff>819150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14" name="Option Button 12">
              <controlPr defaultSize="0" autoFill="0" autoLine="0" autoPict="0">
                <anchor moveWithCells="1">
                  <from>
                    <xdr:col>1</xdr:col>
                    <xdr:colOff>447675</xdr:colOff>
                    <xdr:row>14</xdr:row>
                    <xdr:rowOff>104775</xdr:rowOff>
                  </from>
                  <to>
                    <xdr:col>1</xdr:col>
                    <xdr:colOff>1085850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15" name="Option Button 13">
              <controlPr defaultSize="0" autoFill="0" autoLine="0" autoPict="0">
                <anchor moveWithCells="1">
                  <from>
                    <xdr:col>1</xdr:col>
                    <xdr:colOff>1514475</xdr:colOff>
                    <xdr:row>14</xdr:row>
                    <xdr:rowOff>104775</xdr:rowOff>
                  </from>
                  <to>
                    <xdr:col>2</xdr:col>
                    <xdr:colOff>28575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16" name="Option Button 14">
              <controlPr defaultSize="0" autoFill="0" autoLine="0" autoPict="0">
                <anchor moveWithCells="1">
                  <from>
                    <xdr:col>3</xdr:col>
                    <xdr:colOff>180975</xdr:colOff>
                    <xdr:row>14</xdr:row>
                    <xdr:rowOff>104775</xdr:rowOff>
                  </from>
                  <to>
                    <xdr:col>3</xdr:col>
                    <xdr:colOff>819150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7" name="Drop Down 15">
              <controlPr defaultSize="0" autoLine="0" autoPict="0">
                <anchor moveWithCells="1">
                  <from>
                    <xdr:col>1</xdr:col>
                    <xdr:colOff>619125</xdr:colOff>
                    <xdr:row>17</xdr:row>
                    <xdr:rowOff>0</xdr:rowOff>
                  </from>
                  <to>
                    <xdr:col>1</xdr:col>
                    <xdr:colOff>2047875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8" name="Check Box 16">
              <controlPr defaultSize="0" autoFill="0" autoLine="0" autoPict="0">
                <anchor moveWithCells="1">
                  <from>
                    <xdr:col>2</xdr:col>
                    <xdr:colOff>600075</xdr:colOff>
                    <xdr:row>16</xdr:row>
                    <xdr:rowOff>171450</xdr:rowOff>
                  </from>
                  <to>
                    <xdr:col>3</xdr:col>
                    <xdr:colOff>1285875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54D88-937F-4CEE-AE5F-65E151E922EC}">
  <sheetPr codeName="Sheet11"/>
  <dimension ref="B2:O41"/>
  <sheetViews>
    <sheetView zoomScale="85" zoomScaleNormal="85" workbookViewId="0">
      <selection activeCell="H3" sqref="H3"/>
    </sheetView>
  </sheetViews>
  <sheetFormatPr defaultRowHeight="14.25" x14ac:dyDescent="0.45"/>
  <cols>
    <col min="2" max="3" width="3.59765625" customWidth="1"/>
    <col min="4" max="4" width="31.86328125" bestFit="1" customWidth="1"/>
    <col min="6" max="6" width="21.73046875" customWidth="1"/>
    <col min="7" max="7" width="3.59765625" customWidth="1"/>
    <col min="8" max="8" width="16.59765625" customWidth="1"/>
    <col min="9" max="9" width="3.59765625" customWidth="1"/>
    <col min="10" max="14" width="15.59765625" customWidth="1"/>
    <col min="15" max="15" width="3.59765625" customWidth="1"/>
  </cols>
  <sheetData>
    <row r="2" spans="2:15" x14ac:dyDescent="0.4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ht="50.65" customHeight="1" thickBot="1" x14ac:dyDescent="0.7">
      <c r="B3" s="12"/>
      <c r="C3" s="23" t="s">
        <v>0</v>
      </c>
      <c r="D3" s="23"/>
      <c r="E3" s="23"/>
      <c r="F3" s="23"/>
      <c r="G3" s="12"/>
      <c r="H3" s="20" t="s">
        <v>28</v>
      </c>
      <c r="I3" s="12"/>
      <c r="J3" s="21" t="s">
        <v>13</v>
      </c>
      <c r="K3" s="22" t="s">
        <v>24</v>
      </c>
      <c r="L3" s="22" t="s">
        <v>27</v>
      </c>
      <c r="M3" s="22" t="s">
        <v>25</v>
      </c>
      <c r="N3" s="22" t="s">
        <v>26</v>
      </c>
      <c r="O3" s="12"/>
    </row>
    <row r="4" spans="2:15" ht="15" thickTop="1" thickBot="1" x14ac:dyDescent="0.5">
      <c r="B4" s="12"/>
      <c r="C4" s="13"/>
      <c r="D4" s="13"/>
      <c r="E4" s="13"/>
      <c r="F4" s="13"/>
      <c r="G4" s="12"/>
      <c r="H4" s="13"/>
      <c r="I4" s="12"/>
      <c r="J4" s="18">
        <f>(E33*0.5 + 1.5)/100</f>
        <v>0.03</v>
      </c>
      <c r="K4" s="19">
        <f>F22</f>
        <v>1429.0990215361649</v>
      </c>
      <c r="L4" s="18">
        <f>F41</f>
        <v>0.23818317025602745</v>
      </c>
      <c r="M4" s="19">
        <f>F39</f>
        <v>171491.88258433979</v>
      </c>
      <c r="N4" s="19">
        <f>F40</f>
        <v>23491.882584339794</v>
      </c>
      <c r="O4" s="12"/>
    </row>
    <row r="5" spans="2:15" ht="14.65" thickBot="1" x14ac:dyDescent="0.5">
      <c r="B5" s="12"/>
      <c r="C5" s="13"/>
      <c r="D5" s="14" t="s">
        <v>1</v>
      </c>
      <c r="E5" s="13"/>
      <c r="F5" s="15">
        <v>250000</v>
      </c>
      <c r="G5" s="12"/>
      <c r="H5" s="13"/>
      <c r="I5" s="12"/>
      <c r="J5" s="18">
        <f>J4+0.01</f>
        <v>0.04</v>
      </c>
      <c r="K5" s="19">
        <f t="dataTable" ref="K5:N9" dt2D="0" dtr="0" r1="F33"/>
        <v>1498.428044840246</v>
      </c>
      <c r="L5" s="18">
        <v>0.24973800747337432</v>
      </c>
      <c r="M5" s="19">
        <v>179811.36538082952</v>
      </c>
      <c r="N5" s="19">
        <v>31811.36538082952</v>
      </c>
      <c r="O5" s="12"/>
    </row>
    <row r="6" spans="2:15" ht="14.65" thickBot="1" x14ac:dyDescent="0.5">
      <c r="B6" s="12"/>
      <c r="C6" s="13"/>
      <c r="D6" s="13"/>
      <c r="E6" s="13"/>
      <c r="F6" s="13"/>
      <c r="G6" s="12"/>
      <c r="H6" s="13"/>
      <c r="I6" s="12"/>
      <c r="J6" s="18">
        <f t="shared" ref="J6:J9" si="0">J5+0.01</f>
        <v>0.05</v>
      </c>
      <c r="K6" s="19">
        <v>1569.7696255383134</v>
      </c>
      <c r="L6" s="18">
        <v>0.26162827092305224</v>
      </c>
      <c r="M6" s="19">
        <v>188372.35506459762</v>
      </c>
      <c r="N6" s="19">
        <v>40372.355064597621</v>
      </c>
      <c r="O6" s="12"/>
    </row>
    <row r="7" spans="2:15" ht="14.65" thickBot="1" x14ac:dyDescent="0.5">
      <c r="B7" s="12"/>
      <c r="C7" s="13"/>
      <c r="D7" s="14" t="s">
        <v>2</v>
      </c>
      <c r="E7" s="13"/>
      <c r="F7" s="15">
        <v>65000</v>
      </c>
      <c r="G7" s="12"/>
      <c r="H7" s="13"/>
      <c r="I7" s="12"/>
      <c r="J7" s="18">
        <f t="shared" si="0"/>
        <v>6.0000000000000005E-2</v>
      </c>
      <c r="K7" s="19">
        <v>1643.1034287364118</v>
      </c>
      <c r="L7" s="18">
        <v>0.27385057145606861</v>
      </c>
      <c r="M7" s="19">
        <v>197172.41144836944</v>
      </c>
      <c r="N7" s="19">
        <v>49172.411448369443</v>
      </c>
      <c r="O7" s="12"/>
    </row>
    <row r="8" spans="2:15" ht="14.65" thickBot="1" x14ac:dyDescent="0.5">
      <c r="B8" s="12"/>
      <c r="C8" s="13"/>
      <c r="D8" s="13"/>
      <c r="E8" s="13"/>
      <c r="F8" s="13"/>
      <c r="G8" s="12"/>
      <c r="H8" s="13"/>
      <c r="I8" s="12"/>
      <c r="J8" s="18">
        <f t="shared" si="0"/>
        <v>7.0000000000000007E-2</v>
      </c>
      <c r="K8" s="19">
        <v>1718.405492435636</v>
      </c>
      <c r="L8" s="18">
        <v>0.28640091540593932</v>
      </c>
      <c r="M8" s="19">
        <v>206208.6590922763</v>
      </c>
      <c r="N8" s="19">
        <v>58208.659092276299</v>
      </c>
      <c r="O8" s="12"/>
    </row>
    <row r="9" spans="2:15" ht="14.65" thickBot="1" x14ac:dyDescent="0.5">
      <c r="B9" s="12"/>
      <c r="C9" s="13"/>
      <c r="D9" s="14" t="s">
        <v>3</v>
      </c>
      <c r="E9" s="13"/>
      <c r="F9" s="16">
        <f>F5-F7</f>
        <v>185000</v>
      </c>
      <c r="G9" s="12"/>
      <c r="H9" s="13"/>
      <c r="I9" s="12"/>
      <c r="J9" s="18">
        <f t="shared" si="0"/>
        <v>0.08</v>
      </c>
      <c r="K9" s="19">
        <v>1795.6483964592826</v>
      </c>
      <c r="L9" s="18">
        <v>0.29927473274321376</v>
      </c>
      <c r="M9" s="19">
        <v>215477.8075751139</v>
      </c>
      <c r="N9" s="19">
        <v>67477.807575113897</v>
      </c>
      <c r="O9" s="12"/>
    </row>
    <row r="10" spans="2:15" x14ac:dyDescent="0.45">
      <c r="B10" s="12"/>
      <c r="C10" s="13"/>
      <c r="D10" s="13"/>
      <c r="E10" s="13"/>
      <c r="F10" s="13"/>
      <c r="G10" s="12"/>
      <c r="H10" s="13"/>
      <c r="I10" s="12"/>
      <c r="J10" s="17"/>
      <c r="K10" s="17"/>
      <c r="L10" s="17"/>
      <c r="M10" s="17"/>
      <c r="N10" s="17"/>
      <c r="O10" s="12"/>
    </row>
    <row r="11" spans="2:15" x14ac:dyDescent="0.45">
      <c r="B11" s="12"/>
      <c r="C11" s="13"/>
      <c r="D11" s="24"/>
      <c r="E11" s="24"/>
      <c r="F11" s="24"/>
      <c r="G11" s="12"/>
      <c r="H11" s="13"/>
      <c r="I11" s="12"/>
      <c r="J11" s="13"/>
      <c r="K11" s="13"/>
      <c r="L11" s="13"/>
      <c r="M11" s="13"/>
      <c r="N11" s="13"/>
      <c r="O11" s="12"/>
    </row>
    <row r="12" spans="2:15" x14ac:dyDescent="0.45">
      <c r="B12" s="12"/>
      <c r="C12" s="13"/>
      <c r="D12" s="24"/>
      <c r="E12" s="24"/>
      <c r="F12" s="24"/>
      <c r="G12" s="12"/>
      <c r="H12" s="13"/>
      <c r="I12" s="12"/>
      <c r="J12" s="13"/>
      <c r="K12" s="13"/>
      <c r="L12" s="13"/>
      <c r="M12" s="13"/>
      <c r="N12" s="13"/>
      <c r="O12" s="12"/>
    </row>
    <row r="13" spans="2:15" ht="14.65" thickBot="1" x14ac:dyDescent="0.5">
      <c r="B13" s="12"/>
      <c r="C13" s="13"/>
      <c r="D13" s="13"/>
      <c r="E13" s="13"/>
      <c r="F13" s="13"/>
      <c r="G13" s="12"/>
      <c r="H13" s="13"/>
      <c r="I13" s="12"/>
      <c r="J13" s="13"/>
      <c r="K13" s="13"/>
      <c r="L13" s="13"/>
      <c r="M13" s="13"/>
      <c r="N13" s="13"/>
      <c r="O13" s="12"/>
    </row>
    <row r="14" spans="2:15" ht="14.65" thickBot="1" x14ac:dyDescent="0.5">
      <c r="B14" s="12"/>
      <c r="C14" s="13"/>
      <c r="D14" s="14" t="s">
        <v>5</v>
      </c>
      <c r="E14" s="13"/>
      <c r="F14" s="16">
        <f>F37</f>
        <v>148000</v>
      </c>
      <c r="G14" s="12"/>
      <c r="H14" s="13"/>
      <c r="I14" s="12"/>
      <c r="J14" s="13"/>
      <c r="K14" s="13"/>
      <c r="L14" s="13"/>
      <c r="M14" s="13"/>
      <c r="N14" s="13"/>
      <c r="O14" s="12"/>
    </row>
    <row r="15" spans="2:15" x14ac:dyDescent="0.45">
      <c r="B15" s="12"/>
      <c r="C15" s="13"/>
      <c r="D15" s="14"/>
      <c r="E15" s="13"/>
      <c r="F15" s="13"/>
      <c r="G15" s="12"/>
      <c r="H15" s="13"/>
      <c r="I15" s="12"/>
      <c r="J15" s="13"/>
      <c r="K15" s="13"/>
      <c r="L15" s="13"/>
      <c r="M15" s="13"/>
      <c r="N15" s="13"/>
      <c r="O15" s="12"/>
    </row>
    <row r="16" spans="2:15" x14ac:dyDescent="0.45">
      <c r="B16" s="12"/>
      <c r="C16" s="13"/>
      <c r="D16" s="24"/>
      <c r="E16" s="24"/>
      <c r="F16" s="24"/>
      <c r="G16" s="12"/>
      <c r="H16" s="13"/>
      <c r="I16" s="12"/>
      <c r="J16" s="13"/>
      <c r="K16" s="13"/>
      <c r="L16" s="13"/>
      <c r="M16" s="13"/>
      <c r="N16" s="13"/>
      <c r="O16" s="12"/>
    </row>
    <row r="17" spans="2:15" x14ac:dyDescent="0.45">
      <c r="B17" s="12"/>
      <c r="C17" s="13"/>
      <c r="D17" s="24"/>
      <c r="E17" s="24"/>
      <c r="F17" s="24"/>
      <c r="G17" s="12"/>
      <c r="H17" s="13"/>
      <c r="I17" s="12"/>
      <c r="J17" s="13"/>
      <c r="K17" s="13"/>
      <c r="L17" s="13"/>
      <c r="M17" s="13"/>
      <c r="N17" s="13"/>
      <c r="O17" s="12"/>
    </row>
    <row r="18" spans="2:15" x14ac:dyDescent="0.45">
      <c r="B18" s="12"/>
      <c r="C18" s="13"/>
      <c r="D18" s="24"/>
      <c r="E18" s="24"/>
      <c r="F18" s="24"/>
      <c r="G18" s="12"/>
      <c r="H18" s="13"/>
      <c r="I18" s="12"/>
      <c r="J18" s="13"/>
      <c r="K18" s="13"/>
      <c r="L18" s="13"/>
      <c r="M18" s="13"/>
      <c r="N18" s="13"/>
      <c r="O18" s="12"/>
    </row>
    <row r="19" spans="2:15" x14ac:dyDescent="0.45">
      <c r="B19" s="12"/>
      <c r="C19" s="13"/>
      <c r="D19" s="13"/>
      <c r="E19" s="13"/>
      <c r="F19" s="13"/>
      <c r="G19" s="12"/>
      <c r="H19" s="13"/>
      <c r="I19" s="12"/>
      <c r="J19" s="13"/>
      <c r="K19" s="13"/>
      <c r="L19" s="13"/>
      <c r="M19" s="13"/>
      <c r="N19" s="13"/>
      <c r="O19" s="12"/>
    </row>
    <row r="20" spans="2:15" x14ac:dyDescent="0.45">
      <c r="B20" s="12"/>
      <c r="C20" s="13"/>
      <c r="D20" s="14" t="s">
        <v>7</v>
      </c>
      <c r="E20" s="13"/>
      <c r="F20" s="13"/>
      <c r="G20" s="12"/>
      <c r="H20" s="13"/>
      <c r="I20" s="12"/>
      <c r="J20" s="13"/>
      <c r="K20" s="13"/>
      <c r="L20" s="13"/>
      <c r="M20" s="13"/>
      <c r="N20" s="13"/>
      <c r="O20" s="12"/>
    </row>
    <row r="21" spans="2:15" ht="14.65" thickBot="1" x14ac:dyDescent="0.5">
      <c r="B21" s="12"/>
      <c r="C21" s="13"/>
      <c r="D21" s="13"/>
      <c r="E21" s="13"/>
      <c r="F21" s="13"/>
      <c r="G21" s="12"/>
      <c r="H21" s="13"/>
      <c r="I21" s="12"/>
      <c r="J21" s="13"/>
      <c r="K21" s="13"/>
      <c r="L21" s="13"/>
      <c r="M21" s="13"/>
      <c r="N21" s="13"/>
      <c r="O21" s="12"/>
    </row>
    <row r="22" spans="2:15" ht="14.65" thickBot="1" x14ac:dyDescent="0.5">
      <c r="B22" s="12"/>
      <c r="C22" s="13"/>
      <c r="D22" s="14" t="s">
        <v>8</v>
      </c>
      <c r="E22" s="13"/>
      <c r="F22" s="16">
        <f>F38</f>
        <v>1429.0990215361649</v>
      </c>
      <c r="G22" s="12"/>
      <c r="H22" s="13"/>
      <c r="I22" s="12"/>
      <c r="J22" s="13"/>
      <c r="K22" s="13"/>
      <c r="L22" s="13"/>
      <c r="M22" s="13"/>
      <c r="N22" s="13"/>
      <c r="O22" s="12"/>
    </row>
    <row r="23" spans="2:15" ht="14.65" thickBot="1" x14ac:dyDescent="0.5">
      <c r="B23" s="12"/>
      <c r="C23" s="13"/>
      <c r="D23" s="13"/>
      <c r="E23" s="13"/>
      <c r="F23" s="13"/>
      <c r="G23" s="12"/>
      <c r="H23" s="13"/>
      <c r="I23" s="12"/>
      <c r="J23" s="13"/>
      <c r="K23" s="13"/>
      <c r="L23" s="13"/>
      <c r="M23" s="13"/>
      <c r="N23" s="13"/>
      <c r="O23" s="12"/>
    </row>
    <row r="24" spans="2:15" ht="14.65" thickBot="1" x14ac:dyDescent="0.5">
      <c r="B24" s="12"/>
      <c r="C24" s="13"/>
      <c r="D24" s="14" t="s">
        <v>9</v>
      </c>
      <c r="E24" s="13"/>
      <c r="F24" s="15">
        <v>72000</v>
      </c>
      <c r="G24" s="12"/>
      <c r="H24" s="13"/>
      <c r="I24" s="12"/>
      <c r="J24" s="13"/>
      <c r="K24" s="13"/>
      <c r="L24" s="13"/>
      <c r="M24" s="13"/>
      <c r="N24" s="13"/>
      <c r="O24" s="12"/>
    </row>
    <row r="25" spans="2:15" x14ac:dyDescent="0.45">
      <c r="B25" s="12"/>
      <c r="C25" s="13"/>
      <c r="D25" s="13"/>
      <c r="E25" s="13"/>
      <c r="F25" s="13"/>
      <c r="G25" s="12"/>
      <c r="H25" s="13"/>
      <c r="I25" s="12"/>
      <c r="J25" s="13"/>
      <c r="K25" s="13"/>
      <c r="L25" s="13"/>
      <c r="M25" s="13"/>
      <c r="N25" s="13"/>
      <c r="O25" s="12"/>
    </row>
    <row r="26" spans="2:15" x14ac:dyDescent="0.45"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</row>
    <row r="27" spans="2:15" hidden="1" x14ac:dyDescent="0.45">
      <c r="D27" s="3" t="s">
        <v>10</v>
      </c>
      <c r="E27" s="3" t="s">
        <v>20</v>
      </c>
      <c r="F27" s="3" t="s">
        <v>21</v>
      </c>
    </row>
    <row r="28" spans="2:15" hidden="1" x14ac:dyDescent="0.45">
      <c r="D28" s="1" t="s">
        <v>1</v>
      </c>
      <c r="F28" s="8">
        <f>F5</f>
        <v>250000</v>
      </c>
    </row>
    <row r="29" spans="2:15" hidden="1" x14ac:dyDescent="0.45">
      <c r="D29" s="1" t="s">
        <v>11</v>
      </c>
      <c r="F29" s="8">
        <f>F7</f>
        <v>65000</v>
      </c>
    </row>
    <row r="30" spans="2:15" hidden="1" x14ac:dyDescent="0.45">
      <c r="D30" s="1" t="s">
        <v>4</v>
      </c>
      <c r="E30" s="11">
        <v>4</v>
      </c>
      <c r="F30" s="5">
        <f>E30*5%</f>
        <v>0.2</v>
      </c>
    </row>
    <row r="31" spans="2:15" hidden="1" x14ac:dyDescent="0.45">
      <c r="D31" s="1" t="s">
        <v>12</v>
      </c>
      <c r="E31" s="11">
        <v>2</v>
      </c>
      <c r="F31">
        <f>E31*5</f>
        <v>10</v>
      </c>
    </row>
    <row r="32" spans="2:15" hidden="1" x14ac:dyDescent="0.45">
      <c r="D32" s="1" t="s">
        <v>23</v>
      </c>
      <c r="F32" s="11" t="b">
        <v>0</v>
      </c>
    </row>
    <row r="33" spans="4:6" hidden="1" x14ac:dyDescent="0.45">
      <c r="D33" s="1" t="s">
        <v>13</v>
      </c>
      <c r="E33" s="11">
        <v>3</v>
      </c>
      <c r="F33" s="6">
        <f>(E33*0.5 + 1.5)/100</f>
        <v>0.03</v>
      </c>
    </row>
    <row r="34" spans="4:6" hidden="1" x14ac:dyDescent="0.45">
      <c r="D34" s="1" t="s">
        <v>14</v>
      </c>
      <c r="F34" s="8">
        <f>F24</f>
        <v>72000</v>
      </c>
    </row>
    <row r="35" spans="4:6" hidden="1" x14ac:dyDescent="0.45"/>
    <row r="36" spans="4:6" hidden="1" x14ac:dyDescent="0.45"/>
    <row r="37" spans="4:6" hidden="1" x14ac:dyDescent="0.45">
      <c r="D37" s="1" t="s">
        <v>15</v>
      </c>
      <c r="F37" s="8">
        <f>F9*(1-F30)</f>
        <v>148000</v>
      </c>
    </row>
    <row r="38" spans="4:6" hidden="1" x14ac:dyDescent="0.45">
      <c r="D38" s="1" t="s">
        <v>16</v>
      </c>
      <c r="F38" s="9">
        <f>-PMT(F33/12,F31*12,F37,IF(F32=TRUE,F37*-1,0))</f>
        <v>1429.0990215361649</v>
      </c>
    </row>
    <row r="39" spans="4:6" hidden="1" x14ac:dyDescent="0.45">
      <c r="D39" s="1" t="s">
        <v>17</v>
      </c>
      <c r="F39" s="8">
        <f>F38*F31*12</f>
        <v>171491.88258433979</v>
      </c>
    </row>
    <row r="40" spans="4:6" hidden="1" x14ac:dyDescent="0.45">
      <c r="D40" s="1" t="s">
        <v>18</v>
      </c>
      <c r="F40" s="8">
        <f>IF(F32,F39,F39-F37)</f>
        <v>23491.882584339794</v>
      </c>
    </row>
    <row r="41" spans="4:6" hidden="1" x14ac:dyDescent="0.45">
      <c r="D41" s="1" t="s">
        <v>19</v>
      </c>
      <c r="F41" s="6">
        <f>F38*12/F24</f>
        <v>0.23818317025602745</v>
      </c>
    </row>
  </sheetData>
  <mergeCells count="3">
    <mergeCell ref="C3:F3"/>
    <mergeCell ref="D11:F12"/>
    <mergeCell ref="D16:F1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Group Box 1">
              <controlPr defaultSize="0" autoFill="0" autoPict="0">
                <anchor moveWithCells="1">
                  <from>
                    <xdr:col>3</xdr:col>
                    <xdr:colOff>9525</xdr:colOff>
                    <xdr:row>10</xdr:row>
                    <xdr:rowOff>0</xdr:rowOff>
                  </from>
                  <to>
                    <xdr:col>5</xdr:col>
                    <xdr:colOff>1228725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Group Box 2">
              <controlPr defaultSize="0" autoFill="0" autoPict="0">
                <anchor moveWithCells="1">
                  <from>
                    <xdr:col>3</xdr:col>
                    <xdr:colOff>9525</xdr:colOff>
                    <xdr:row>14</xdr:row>
                    <xdr:rowOff>180975</xdr:rowOff>
                  </from>
                  <to>
                    <xdr:col>5</xdr:col>
                    <xdr:colOff>1228725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Option Button 3">
              <controlPr defaultSize="0" autoFill="0" autoLine="0" autoPict="0">
                <anchor moveWithCells="1">
                  <from>
                    <xdr:col>3</xdr:col>
                    <xdr:colOff>114300</xdr:colOff>
                    <xdr:row>10</xdr:row>
                    <xdr:rowOff>66675</xdr:rowOff>
                  </from>
                  <to>
                    <xdr:col>3</xdr:col>
                    <xdr:colOff>609600</xdr:colOff>
                    <xdr:row>11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Option Button 4">
              <controlPr defaultSize="0" autoFill="0" autoLine="0" autoPict="0">
                <anchor moveWithCells="1">
                  <from>
                    <xdr:col>3</xdr:col>
                    <xdr:colOff>800100</xdr:colOff>
                    <xdr:row>10</xdr:row>
                    <xdr:rowOff>66675</xdr:rowOff>
                  </from>
                  <to>
                    <xdr:col>3</xdr:col>
                    <xdr:colOff>1314450</xdr:colOff>
                    <xdr:row>11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Option Button 5">
              <controlPr defaultSize="0" autoFill="0" autoLine="0" autoPict="0">
                <anchor moveWithCells="1">
                  <from>
                    <xdr:col>3</xdr:col>
                    <xdr:colOff>1495425</xdr:colOff>
                    <xdr:row>10</xdr:row>
                    <xdr:rowOff>76200</xdr:rowOff>
                  </from>
                  <to>
                    <xdr:col>3</xdr:col>
                    <xdr:colOff>1971675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8" name="Option Button 6">
              <controlPr defaultSize="0" autoFill="0" autoLine="0" autoPict="0">
                <anchor moveWithCells="1">
                  <from>
                    <xdr:col>4</xdr:col>
                    <xdr:colOff>28575</xdr:colOff>
                    <xdr:row>10</xdr:row>
                    <xdr:rowOff>76200</xdr:rowOff>
                  </from>
                  <to>
                    <xdr:col>4</xdr:col>
                    <xdr:colOff>514350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9" name="Option Button 7">
              <controlPr defaultSize="0" autoFill="0" autoLine="0" autoPict="0">
                <anchor moveWithCells="1">
                  <from>
                    <xdr:col>5</xdr:col>
                    <xdr:colOff>85725</xdr:colOff>
                    <xdr:row>10</xdr:row>
                    <xdr:rowOff>85725</xdr:rowOff>
                  </from>
                  <to>
                    <xdr:col>5</xdr:col>
                    <xdr:colOff>552450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0" name="Option Button 8">
              <controlPr defaultSize="0" autoFill="0" autoLine="0" autoPict="0">
                <anchor moveWithCells="1">
                  <from>
                    <xdr:col>5</xdr:col>
                    <xdr:colOff>742950</xdr:colOff>
                    <xdr:row>10</xdr:row>
                    <xdr:rowOff>85725</xdr:rowOff>
                  </from>
                  <to>
                    <xdr:col>5</xdr:col>
                    <xdr:colOff>1195388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1" name="Option Button 9">
              <controlPr defaultSize="0" autoFill="0" autoLine="0" autoPict="0">
                <anchor moveWithCells="1">
                  <from>
                    <xdr:col>3</xdr:col>
                    <xdr:colOff>447675</xdr:colOff>
                    <xdr:row>15</xdr:row>
                    <xdr:rowOff>95250</xdr:rowOff>
                  </from>
                  <to>
                    <xdr:col>3</xdr:col>
                    <xdr:colOff>1085850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2" name="Option Button 10">
              <controlPr defaultSize="0" autoFill="0" autoLine="0" autoPict="0">
                <anchor moveWithCells="1">
                  <from>
                    <xdr:col>3</xdr:col>
                    <xdr:colOff>1514475</xdr:colOff>
                    <xdr:row>15</xdr:row>
                    <xdr:rowOff>85725</xdr:rowOff>
                  </from>
                  <to>
                    <xdr:col>4</xdr:col>
                    <xdr:colOff>28575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3" name="Option Button 11">
              <controlPr defaultSize="0" autoFill="0" autoLine="0" autoPict="0">
                <anchor moveWithCells="1">
                  <from>
                    <xdr:col>5</xdr:col>
                    <xdr:colOff>180975</xdr:colOff>
                    <xdr:row>15</xdr:row>
                    <xdr:rowOff>85725</xdr:rowOff>
                  </from>
                  <to>
                    <xdr:col>5</xdr:col>
                    <xdr:colOff>819150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4" name="Option Button 12">
              <controlPr defaultSize="0" autoFill="0" autoLine="0" autoPict="0">
                <anchor moveWithCells="1">
                  <from>
                    <xdr:col>3</xdr:col>
                    <xdr:colOff>447675</xdr:colOff>
                    <xdr:row>16</xdr:row>
                    <xdr:rowOff>104775</xdr:rowOff>
                  </from>
                  <to>
                    <xdr:col>3</xdr:col>
                    <xdr:colOff>1085850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5" name="Option Button 13">
              <controlPr defaultSize="0" autoFill="0" autoLine="0" autoPict="0">
                <anchor moveWithCells="1">
                  <from>
                    <xdr:col>3</xdr:col>
                    <xdr:colOff>1514475</xdr:colOff>
                    <xdr:row>16</xdr:row>
                    <xdr:rowOff>104775</xdr:rowOff>
                  </from>
                  <to>
                    <xdr:col>4</xdr:col>
                    <xdr:colOff>28575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6" name="Option Button 14">
              <controlPr defaultSize="0" autoFill="0" autoLine="0" autoPict="0">
                <anchor moveWithCells="1">
                  <from>
                    <xdr:col>5</xdr:col>
                    <xdr:colOff>180975</xdr:colOff>
                    <xdr:row>16</xdr:row>
                    <xdr:rowOff>104775</xdr:rowOff>
                  </from>
                  <to>
                    <xdr:col>5</xdr:col>
                    <xdr:colOff>819150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7" name="Drop Down 15">
              <controlPr defaultSize="0" autoLine="0" autoPict="0">
                <anchor moveWithCells="1">
                  <from>
                    <xdr:col>3</xdr:col>
                    <xdr:colOff>619125</xdr:colOff>
                    <xdr:row>19</xdr:row>
                    <xdr:rowOff>0</xdr:rowOff>
                  </from>
                  <to>
                    <xdr:col>3</xdr:col>
                    <xdr:colOff>2047875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18" name="Check Box 16">
              <controlPr defaultSize="0" autoFill="0" autoLine="0" autoPict="0">
                <anchor moveWithCells="1">
                  <from>
                    <xdr:col>4</xdr:col>
                    <xdr:colOff>600075</xdr:colOff>
                    <xdr:row>18</xdr:row>
                    <xdr:rowOff>171450</xdr:rowOff>
                  </from>
                  <to>
                    <xdr:col>5</xdr:col>
                    <xdr:colOff>1285875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F74C-D0ED-493C-B759-40CA3F0C3D73}">
  <sheetPr codeName="Sheet12"/>
  <dimension ref="B2:O41"/>
  <sheetViews>
    <sheetView topLeftCell="A3" zoomScale="85" zoomScaleNormal="85" workbookViewId="0">
      <selection activeCell="F5" sqref="F5"/>
    </sheetView>
  </sheetViews>
  <sheetFormatPr defaultRowHeight="14.25" x14ac:dyDescent="0.45"/>
  <cols>
    <col min="2" max="3" width="3.59765625" customWidth="1"/>
    <col min="4" max="4" width="31.86328125" bestFit="1" customWidth="1"/>
    <col min="6" max="6" width="21.73046875" customWidth="1"/>
    <col min="7" max="7" width="3.59765625" customWidth="1"/>
    <col min="8" max="8" width="16.59765625" customWidth="1"/>
    <col min="9" max="9" width="3.59765625" customWidth="1"/>
    <col min="10" max="14" width="15.59765625" customWidth="1"/>
    <col min="15" max="15" width="3.59765625" customWidth="1"/>
  </cols>
  <sheetData>
    <row r="2" spans="2:15" x14ac:dyDescent="0.4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ht="50.65" customHeight="1" thickBot="1" x14ac:dyDescent="0.7">
      <c r="B3" s="12"/>
      <c r="C3" s="23" t="s">
        <v>0</v>
      </c>
      <c r="D3" s="23"/>
      <c r="E3" s="23"/>
      <c r="F3" s="23"/>
      <c r="G3" s="12"/>
      <c r="H3" s="20" t="s">
        <v>28</v>
      </c>
      <c r="I3" s="12"/>
      <c r="J3" s="21" t="s">
        <v>13</v>
      </c>
      <c r="K3" s="22" t="s">
        <v>24</v>
      </c>
      <c r="L3" s="22" t="s">
        <v>27</v>
      </c>
      <c r="M3" s="22" t="s">
        <v>25</v>
      </c>
      <c r="N3" s="22" t="s">
        <v>26</v>
      </c>
      <c r="O3" s="12"/>
    </row>
    <row r="4" spans="2:15" ht="15" thickTop="1" thickBot="1" x14ac:dyDescent="0.5">
      <c r="B4" s="12"/>
      <c r="C4" s="13"/>
      <c r="D4" s="13"/>
      <c r="E4" s="13"/>
      <c r="F4" s="13"/>
      <c r="G4" s="12"/>
      <c r="H4" s="13"/>
      <c r="I4" s="12"/>
      <c r="J4" s="18">
        <f>(E33*0.5 + 1.5)/100</f>
        <v>0.03</v>
      </c>
      <c r="K4" s="19">
        <f>F22</f>
        <v>1429.0990215361649</v>
      </c>
      <c r="L4" s="18">
        <f>F41</f>
        <v>0.23818317025602745</v>
      </c>
      <c r="M4" s="19">
        <f>F39</f>
        <v>171491.88258433979</v>
      </c>
      <c r="N4" s="19">
        <f>F40</f>
        <v>23491.882584339794</v>
      </c>
      <c r="O4" s="12"/>
    </row>
    <row r="5" spans="2:15" ht="14.65" thickBot="1" x14ac:dyDescent="0.5">
      <c r="B5" s="12"/>
      <c r="C5" s="13"/>
      <c r="D5" s="14" t="s">
        <v>1</v>
      </c>
      <c r="E5" s="13"/>
      <c r="F5" s="15">
        <v>250000</v>
      </c>
      <c r="G5" s="12"/>
      <c r="H5" s="13"/>
      <c r="I5" s="12"/>
      <c r="J5" s="18">
        <f>J4+0.01</f>
        <v>0.04</v>
      </c>
      <c r="K5" s="19">
        <f t="dataTable" ref="K5:N9" dt2D="0" dtr="0" r1="F33"/>
        <v>1498.428044840246</v>
      </c>
      <c r="L5" s="18">
        <v>0.24973800747337432</v>
      </c>
      <c r="M5" s="19">
        <v>179811.36538082952</v>
      </c>
      <c r="N5" s="19">
        <v>31811.36538082952</v>
      </c>
      <c r="O5" s="12"/>
    </row>
    <row r="6" spans="2:15" ht="14.65" thickBot="1" x14ac:dyDescent="0.5">
      <c r="B6" s="12"/>
      <c r="C6" s="13"/>
      <c r="D6" s="13"/>
      <c r="E6" s="13"/>
      <c r="F6" s="13"/>
      <c r="G6" s="12"/>
      <c r="H6" s="13"/>
      <c r="I6" s="12"/>
      <c r="J6" s="18">
        <f t="shared" ref="J6:J9" si="0">J5+0.01</f>
        <v>0.05</v>
      </c>
      <c r="K6" s="19">
        <v>1569.7696255383134</v>
      </c>
      <c r="L6" s="18">
        <v>0.26162827092305224</v>
      </c>
      <c r="M6" s="19">
        <v>188372.35506459762</v>
      </c>
      <c r="N6" s="19">
        <v>40372.355064597621</v>
      </c>
      <c r="O6" s="12"/>
    </row>
    <row r="7" spans="2:15" ht="14.65" thickBot="1" x14ac:dyDescent="0.5">
      <c r="B7" s="12"/>
      <c r="C7" s="13"/>
      <c r="D7" s="14" t="s">
        <v>2</v>
      </c>
      <c r="E7" s="13"/>
      <c r="F7" s="15">
        <v>65000</v>
      </c>
      <c r="G7" s="12"/>
      <c r="H7" s="13"/>
      <c r="I7" s="12"/>
      <c r="J7" s="18">
        <f t="shared" si="0"/>
        <v>6.0000000000000005E-2</v>
      </c>
      <c r="K7" s="19">
        <v>1643.1034287364118</v>
      </c>
      <c r="L7" s="18">
        <v>0.27385057145606861</v>
      </c>
      <c r="M7" s="19">
        <v>197172.41144836944</v>
      </c>
      <c r="N7" s="19">
        <v>49172.411448369443</v>
      </c>
      <c r="O7" s="12"/>
    </row>
    <row r="8" spans="2:15" ht="14.65" thickBot="1" x14ac:dyDescent="0.5">
      <c r="B8" s="12"/>
      <c r="C8" s="13"/>
      <c r="D8" s="13"/>
      <c r="E8" s="13"/>
      <c r="F8" s="13"/>
      <c r="G8" s="12"/>
      <c r="H8" s="13"/>
      <c r="I8" s="12"/>
      <c r="J8" s="18">
        <f t="shared" si="0"/>
        <v>7.0000000000000007E-2</v>
      </c>
      <c r="K8" s="19">
        <v>1718.405492435636</v>
      </c>
      <c r="L8" s="18">
        <v>0.28640091540593932</v>
      </c>
      <c r="M8" s="19">
        <v>206208.6590922763</v>
      </c>
      <c r="N8" s="19">
        <v>58208.659092276299</v>
      </c>
      <c r="O8" s="12"/>
    </row>
    <row r="9" spans="2:15" ht="14.65" thickBot="1" x14ac:dyDescent="0.5">
      <c r="B9" s="12"/>
      <c r="C9" s="13"/>
      <c r="D9" s="14" t="s">
        <v>3</v>
      </c>
      <c r="E9" s="13"/>
      <c r="F9" s="16">
        <f>F5-F7</f>
        <v>185000</v>
      </c>
      <c r="G9" s="12"/>
      <c r="H9" s="13"/>
      <c r="I9" s="12"/>
      <c r="J9" s="18">
        <f t="shared" si="0"/>
        <v>0.08</v>
      </c>
      <c r="K9" s="19">
        <v>1795.6483964592826</v>
      </c>
      <c r="L9" s="18">
        <v>0.29927473274321376</v>
      </c>
      <c r="M9" s="19">
        <v>215477.8075751139</v>
      </c>
      <c r="N9" s="19">
        <v>67477.807575113897</v>
      </c>
      <c r="O9" s="12"/>
    </row>
    <row r="10" spans="2:15" x14ac:dyDescent="0.45">
      <c r="B10" s="12"/>
      <c r="C10" s="13"/>
      <c r="D10" s="13"/>
      <c r="E10" s="13"/>
      <c r="F10" s="13"/>
      <c r="G10" s="12"/>
      <c r="H10" s="13"/>
      <c r="I10" s="12"/>
      <c r="J10" s="17"/>
      <c r="K10" s="17"/>
      <c r="L10" s="17"/>
      <c r="M10" s="17"/>
      <c r="N10" s="17"/>
      <c r="O10" s="12"/>
    </row>
    <row r="11" spans="2:15" x14ac:dyDescent="0.45">
      <c r="B11" s="12"/>
      <c r="C11" s="13"/>
      <c r="D11" s="24"/>
      <c r="E11" s="24"/>
      <c r="F11" s="24"/>
      <c r="G11" s="12"/>
      <c r="H11" s="13"/>
      <c r="I11" s="12"/>
      <c r="J11" s="13"/>
      <c r="K11" s="13"/>
      <c r="L11" s="13"/>
      <c r="M11" s="13"/>
      <c r="N11" s="13"/>
      <c r="O11" s="12"/>
    </row>
    <row r="12" spans="2:15" x14ac:dyDescent="0.45">
      <c r="B12" s="12"/>
      <c r="C12" s="13"/>
      <c r="D12" s="24"/>
      <c r="E12" s="24"/>
      <c r="F12" s="24"/>
      <c r="G12" s="12"/>
      <c r="H12" s="13"/>
      <c r="I12" s="12"/>
      <c r="J12" s="13"/>
      <c r="K12" s="13"/>
      <c r="L12" s="13"/>
      <c r="M12" s="13"/>
      <c r="N12" s="13"/>
      <c r="O12" s="12"/>
    </row>
    <row r="13" spans="2:15" ht="14.65" thickBot="1" x14ac:dyDescent="0.5">
      <c r="B13" s="12"/>
      <c r="C13" s="13"/>
      <c r="D13" s="13"/>
      <c r="E13" s="13"/>
      <c r="F13" s="13"/>
      <c r="G13" s="12"/>
      <c r="H13" s="13"/>
      <c r="I13" s="12"/>
      <c r="J13" s="13"/>
      <c r="K13" s="13"/>
      <c r="L13" s="13"/>
      <c r="M13" s="13"/>
      <c r="N13" s="13"/>
      <c r="O13" s="12"/>
    </row>
    <row r="14" spans="2:15" ht="14.65" thickBot="1" x14ac:dyDescent="0.5">
      <c r="B14" s="12"/>
      <c r="C14" s="13"/>
      <c r="D14" s="14" t="s">
        <v>5</v>
      </c>
      <c r="E14" s="13"/>
      <c r="F14" s="16">
        <f>F37</f>
        <v>148000</v>
      </c>
      <c r="G14" s="12"/>
      <c r="H14" s="13"/>
      <c r="I14" s="12"/>
      <c r="J14" s="13"/>
      <c r="K14" s="13"/>
      <c r="L14" s="13"/>
      <c r="M14" s="13"/>
      <c r="N14" s="13"/>
      <c r="O14" s="12"/>
    </row>
    <row r="15" spans="2:15" x14ac:dyDescent="0.45">
      <c r="B15" s="12"/>
      <c r="C15" s="13"/>
      <c r="D15" s="14"/>
      <c r="E15" s="13"/>
      <c r="F15" s="13"/>
      <c r="G15" s="12"/>
      <c r="H15" s="13"/>
      <c r="I15" s="12"/>
      <c r="J15" s="13"/>
      <c r="K15" s="13"/>
      <c r="L15" s="13"/>
      <c r="M15" s="13"/>
      <c r="N15" s="13"/>
      <c r="O15" s="12"/>
    </row>
    <row r="16" spans="2:15" x14ac:dyDescent="0.45">
      <c r="B16" s="12"/>
      <c r="C16" s="13"/>
      <c r="D16" s="24"/>
      <c r="E16" s="24"/>
      <c r="F16" s="24"/>
      <c r="G16" s="12"/>
      <c r="H16" s="13"/>
      <c r="I16" s="12"/>
      <c r="J16" s="13"/>
      <c r="K16" s="13"/>
      <c r="L16" s="13"/>
      <c r="M16" s="13"/>
      <c r="N16" s="13"/>
      <c r="O16" s="12"/>
    </row>
    <row r="17" spans="2:15" x14ac:dyDescent="0.45">
      <c r="B17" s="12"/>
      <c r="C17" s="13"/>
      <c r="D17" s="24"/>
      <c r="E17" s="24"/>
      <c r="F17" s="24"/>
      <c r="G17" s="12"/>
      <c r="H17" s="13"/>
      <c r="I17" s="12"/>
      <c r="J17" s="13"/>
      <c r="K17" s="13"/>
      <c r="L17" s="13"/>
      <c r="M17" s="13"/>
      <c r="N17" s="13"/>
      <c r="O17" s="12"/>
    </row>
    <row r="18" spans="2:15" x14ac:dyDescent="0.45">
      <c r="B18" s="12"/>
      <c r="C18" s="13"/>
      <c r="D18" s="24"/>
      <c r="E18" s="24"/>
      <c r="F18" s="24"/>
      <c r="G18" s="12"/>
      <c r="H18" s="13"/>
      <c r="I18" s="12"/>
      <c r="J18" s="13"/>
      <c r="K18" s="13"/>
      <c r="L18" s="13"/>
      <c r="M18" s="13"/>
      <c r="N18" s="13"/>
      <c r="O18" s="12"/>
    </row>
    <row r="19" spans="2:15" x14ac:dyDescent="0.45">
      <c r="B19" s="12"/>
      <c r="C19" s="13"/>
      <c r="D19" s="13"/>
      <c r="E19" s="13"/>
      <c r="F19" s="13"/>
      <c r="G19" s="12"/>
      <c r="H19" s="13"/>
      <c r="I19" s="12"/>
      <c r="J19" s="13"/>
      <c r="K19" s="13"/>
      <c r="L19" s="13"/>
      <c r="M19" s="13"/>
      <c r="N19" s="13"/>
      <c r="O19" s="12"/>
    </row>
    <row r="20" spans="2:15" x14ac:dyDescent="0.45">
      <c r="B20" s="12"/>
      <c r="C20" s="13"/>
      <c r="D20" s="14" t="s">
        <v>7</v>
      </c>
      <c r="E20" s="13"/>
      <c r="F20" s="13"/>
      <c r="G20" s="12"/>
      <c r="H20" s="13"/>
      <c r="I20" s="12"/>
      <c r="J20" s="13"/>
      <c r="K20" s="13"/>
      <c r="L20" s="13"/>
      <c r="M20" s="13"/>
      <c r="N20" s="13"/>
      <c r="O20" s="12"/>
    </row>
    <row r="21" spans="2:15" ht="14.65" thickBot="1" x14ac:dyDescent="0.5">
      <c r="B21" s="12"/>
      <c r="C21" s="13"/>
      <c r="D21" s="13"/>
      <c r="E21" s="13"/>
      <c r="F21" s="13"/>
      <c r="G21" s="12"/>
      <c r="H21" s="13"/>
      <c r="I21" s="12"/>
      <c r="J21" s="13"/>
      <c r="K21" s="13"/>
      <c r="L21" s="13"/>
      <c r="M21" s="13"/>
      <c r="N21" s="13"/>
      <c r="O21" s="12"/>
    </row>
    <row r="22" spans="2:15" ht="14.65" thickBot="1" x14ac:dyDescent="0.5">
      <c r="B22" s="12"/>
      <c r="C22" s="13"/>
      <c r="D22" s="14" t="s">
        <v>8</v>
      </c>
      <c r="E22" s="13"/>
      <c r="F22" s="16">
        <f>F38</f>
        <v>1429.0990215361649</v>
      </c>
      <c r="G22" s="12"/>
      <c r="H22" s="13"/>
      <c r="I22" s="12"/>
      <c r="J22" s="13"/>
      <c r="K22" s="13"/>
      <c r="L22" s="13"/>
      <c r="M22" s="13"/>
      <c r="N22" s="13"/>
      <c r="O22" s="12"/>
    </row>
    <row r="23" spans="2:15" ht="14.65" thickBot="1" x14ac:dyDescent="0.5">
      <c r="B23" s="12"/>
      <c r="C23" s="13"/>
      <c r="D23" s="13"/>
      <c r="E23" s="13"/>
      <c r="F23" s="13"/>
      <c r="G23" s="12"/>
      <c r="H23" s="13"/>
      <c r="I23" s="12"/>
      <c r="J23" s="13"/>
      <c r="K23" s="13"/>
      <c r="L23" s="13"/>
      <c r="M23" s="13"/>
      <c r="N23" s="13"/>
      <c r="O23" s="12"/>
    </row>
    <row r="24" spans="2:15" ht="14.65" thickBot="1" x14ac:dyDescent="0.5">
      <c r="B24" s="12"/>
      <c r="C24" s="13"/>
      <c r="D24" s="14" t="s">
        <v>9</v>
      </c>
      <c r="E24" s="13"/>
      <c r="F24" s="15">
        <v>72000</v>
      </c>
      <c r="G24" s="12"/>
      <c r="H24" s="13"/>
      <c r="I24" s="12"/>
      <c r="J24" s="13"/>
      <c r="K24" s="13"/>
      <c r="L24" s="13"/>
      <c r="M24" s="13"/>
      <c r="N24" s="13"/>
      <c r="O24" s="12"/>
    </row>
    <row r="25" spans="2:15" x14ac:dyDescent="0.45">
      <c r="B25" s="12"/>
      <c r="C25" s="13"/>
      <c r="D25" s="13"/>
      <c r="E25" s="13"/>
      <c r="F25" s="13"/>
      <c r="G25" s="12"/>
      <c r="H25" s="13"/>
      <c r="I25" s="12"/>
      <c r="J25" s="13"/>
      <c r="K25" s="13"/>
      <c r="L25" s="13"/>
      <c r="M25" s="13"/>
      <c r="N25" s="13"/>
      <c r="O25" s="12"/>
    </row>
    <row r="26" spans="2:15" x14ac:dyDescent="0.45"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</row>
    <row r="27" spans="2:15" hidden="1" x14ac:dyDescent="0.45">
      <c r="D27" s="3" t="s">
        <v>10</v>
      </c>
      <c r="E27" s="3" t="s">
        <v>20</v>
      </c>
      <c r="F27" s="3" t="s">
        <v>21</v>
      </c>
    </row>
    <row r="28" spans="2:15" hidden="1" x14ac:dyDescent="0.45">
      <c r="D28" s="1" t="s">
        <v>1</v>
      </c>
      <c r="F28" s="8">
        <f>F5</f>
        <v>250000</v>
      </c>
    </row>
    <row r="29" spans="2:15" hidden="1" x14ac:dyDescent="0.45">
      <c r="D29" s="1" t="s">
        <v>11</v>
      </c>
      <c r="F29" s="8">
        <f>F7</f>
        <v>65000</v>
      </c>
    </row>
    <row r="30" spans="2:15" hidden="1" x14ac:dyDescent="0.45">
      <c r="D30" s="1" t="s">
        <v>4</v>
      </c>
      <c r="E30" s="11">
        <v>4</v>
      </c>
      <c r="F30" s="5">
        <f>E30*5%</f>
        <v>0.2</v>
      </c>
    </row>
    <row r="31" spans="2:15" hidden="1" x14ac:dyDescent="0.45">
      <c r="D31" s="1" t="s">
        <v>12</v>
      </c>
      <c r="E31" s="11">
        <v>2</v>
      </c>
      <c r="F31">
        <f>E31*5</f>
        <v>10</v>
      </c>
    </row>
    <row r="32" spans="2:15" hidden="1" x14ac:dyDescent="0.45">
      <c r="D32" s="1" t="s">
        <v>23</v>
      </c>
      <c r="F32" s="11" t="b">
        <v>0</v>
      </c>
    </row>
    <row r="33" spans="4:6" hidden="1" x14ac:dyDescent="0.45">
      <c r="D33" s="1" t="s">
        <v>13</v>
      </c>
      <c r="E33" s="11">
        <v>3</v>
      </c>
      <c r="F33" s="6">
        <f>(E33*0.5 + 1.5)/100</f>
        <v>0.03</v>
      </c>
    </row>
    <row r="34" spans="4:6" hidden="1" x14ac:dyDescent="0.45">
      <c r="D34" s="1" t="s">
        <v>14</v>
      </c>
      <c r="F34" s="8">
        <f>F24</f>
        <v>72000</v>
      </c>
    </row>
    <row r="35" spans="4:6" hidden="1" x14ac:dyDescent="0.45"/>
    <row r="36" spans="4:6" hidden="1" x14ac:dyDescent="0.45"/>
    <row r="37" spans="4:6" hidden="1" x14ac:dyDescent="0.45">
      <c r="D37" s="1" t="s">
        <v>15</v>
      </c>
      <c r="F37" s="8">
        <f>F9*(1-F30)</f>
        <v>148000</v>
      </c>
    </row>
    <row r="38" spans="4:6" hidden="1" x14ac:dyDescent="0.45">
      <c r="D38" s="1" t="s">
        <v>16</v>
      </c>
      <c r="F38" s="9">
        <f>-PMT(F33/12,F31*12,F37,IF(F32=TRUE,F37*-1,0))</f>
        <v>1429.0990215361649</v>
      </c>
    </row>
    <row r="39" spans="4:6" hidden="1" x14ac:dyDescent="0.45">
      <c r="D39" s="1" t="s">
        <v>17</v>
      </c>
      <c r="F39" s="8">
        <f>F38*F31*12</f>
        <v>171491.88258433979</v>
      </c>
    </row>
    <row r="40" spans="4:6" hidden="1" x14ac:dyDescent="0.45">
      <c r="D40" s="1" t="s">
        <v>18</v>
      </c>
      <c r="F40" s="8">
        <f>IF(F32,F39,F39-F37)</f>
        <v>23491.882584339794</v>
      </c>
    </row>
    <row r="41" spans="4:6" hidden="1" x14ac:dyDescent="0.45">
      <c r="D41" s="1" t="s">
        <v>19</v>
      </c>
      <c r="F41" s="6">
        <f>F38*12/F24</f>
        <v>0.23818317025602745</v>
      </c>
    </row>
  </sheetData>
  <sheetProtection sheet="1" objects="1" scenarios="1"/>
  <mergeCells count="3">
    <mergeCell ref="C3:F3"/>
    <mergeCell ref="D11:F12"/>
    <mergeCell ref="D16:F18"/>
  </mergeCells>
  <pageMargins left="0.7" right="0.7" top="0.75" bottom="0.75" header="0.3" footer="0.3"/>
  <pageSetup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Group Box 1">
              <controlPr defaultSize="0" autoFill="0" autoPict="0">
                <anchor moveWithCells="1">
                  <from>
                    <xdr:col>3</xdr:col>
                    <xdr:colOff>9525</xdr:colOff>
                    <xdr:row>10</xdr:row>
                    <xdr:rowOff>0</xdr:rowOff>
                  </from>
                  <to>
                    <xdr:col>5</xdr:col>
                    <xdr:colOff>1228725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Group Box 2">
              <controlPr defaultSize="0" autoFill="0" autoPict="0">
                <anchor moveWithCells="1">
                  <from>
                    <xdr:col>3</xdr:col>
                    <xdr:colOff>9525</xdr:colOff>
                    <xdr:row>14</xdr:row>
                    <xdr:rowOff>180975</xdr:rowOff>
                  </from>
                  <to>
                    <xdr:col>5</xdr:col>
                    <xdr:colOff>1228725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Option Button 3">
              <controlPr defaultSize="0" autoFill="0" autoLine="0" autoPict="0">
                <anchor moveWithCells="1">
                  <from>
                    <xdr:col>3</xdr:col>
                    <xdr:colOff>114300</xdr:colOff>
                    <xdr:row>10</xdr:row>
                    <xdr:rowOff>66675</xdr:rowOff>
                  </from>
                  <to>
                    <xdr:col>3</xdr:col>
                    <xdr:colOff>609600</xdr:colOff>
                    <xdr:row>11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Option Button 4">
              <controlPr defaultSize="0" autoFill="0" autoLine="0" autoPict="0">
                <anchor moveWithCells="1">
                  <from>
                    <xdr:col>3</xdr:col>
                    <xdr:colOff>800100</xdr:colOff>
                    <xdr:row>10</xdr:row>
                    <xdr:rowOff>66675</xdr:rowOff>
                  </from>
                  <to>
                    <xdr:col>3</xdr:col>
                    <xdr:colOff>1314450</xdr:colOff>
                    <xdr:row>11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Option Button 5">
              <controlPr defaultSize="0" autoFill="0" autoLine="0" autoPict="0">
                <anchor moveWithCells="1">
                  <from>
                    <xdr:col>3</xdr:col>
                    <xdr:colOff>1495425</xdr:colOff>
                    <xdr:row>10</xdr:row>
                    <xdr:rowOff>76200</xdr:rowOff>
                  </from>
                  <to>
                    <xdr:col>3</xdr:col>
                    <xdr:colOff>1971675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Option Button 6">
              <controlPr defaultSize="0" autoFill="0" autoLine="0" autoPict="0">
                <anchor moveWithCells="1">
                  <from>
                    <xdr:col>4</xdr:col>
                    <xdr:colOff>28575</xdr:colOff>
                    <xdr:row>10</xdr:row>
                    <xdr:rowOff>76200</xdr:rowOff>
                  </from>
                  <to>
                    <xdr:col>4</xdr:col>
                    <xdr:colOff>514350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Option Button 7">
              <controlPr defaultSize="0" autoFill="0" autoLine="0" autoPict="0">
                <anchor moveWithCells="1">
                  <from>
                    <xdr:col>5</xdr:col>
                    <xdr:colOff>85725</xdr:colOff>
                    <xdr:row>10</xdr:row>
                    <xdr:rowOff>85725</xdr:rowOff>
                  </from>
                  <to>
                    <xdr:col>5</xdr:col>
                    <xdr:colOff>552450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Option Button 8">
              <controlPr defaultSize="0" autoFill="0" autoLine="0" autoPict="0">
                <anchor moveWithCells="1">
                  <from>
                    <xdr:col>5</xdr:col>
                    <xdr:colOff>742950</xdr:colOff>
                    <xdr:row>10</xdr:row>
                    <xdr:rowOff>85725</xdr:rowOff>
                  </from>
                  <to>
                    <xdr:col>5</xdr:col>
                    <xdr:colOff>1195388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Option Button 9">
              <controlPr defaultSize="0" autoFill="0" autoLine="0" autoPict="0">
                <anchor moveWithCells="1">
                  <from>
                    <xdr:col>3</xdr:col>
                    <xdr:colOff>447675</xdr:colOff>
                    <xdr:row>15</xdr:row>
                    <xdr:rowOff>95250</xdr:rowOff>
                  </from>
                  <to>
                    <xdr:col>3</xdr:col>
                    <xdr:colOff>1085850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Option Button 10">
              <controlPr defaultSize="0" autoFill="0" autoLine="0" autoPict="0">
                <anchor moveWithCells="1">
                  <from>
                    <xdr:col>3</xdr:col>
                    <xdr:colOff>1514475</xdr:colOff>
                    <xdr:row>15</xdr:row>
                    <xdr:rowOff>85725</xdr:rowOff>
                  </from>
                  <to>
                    <xdr:col>4</xdr:col>
                    <xdr:colOff>28575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Option Button 11">
              <controlPr defaultSize="0" autoFill="0" autoLine="0" autoPict="0">
                <anchor moveWithCells="1">
                  <from>
                    <xdr:col>5</xdr:col>
                    <xdr:colOff>180975</xdr:colOff>
                    <xdr:row>15</xdr:row>
                    <xdr:rowOff>85725</xdr:rowOff>
                  </from>
                  <to>
                    <xdr:col>5</xdr:col>
                    <xdr:colOff>819150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Option Button 12">
              <controlPr defaultSize="0" autoFill="0" autoLine="0" autoPict="0">
                <anchor moveWithCells="1">
                  <from>
                    <xdr:col>3</xdr:col>
                    <xdr:colOff>447675</xdr:colOff>
                    <xdr:row>16</xdr:row>
                    <xdr:rowOff>104775</xdr:rowOff>
                  </from>
                  <to>
                    <xdr:col>3</xdr:col>
                    <xdr:colOff>1085850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Option Button 13">
              <controlPr defaultSize="0" autoFill="0" autoLine="0" autoPict="0">
                <anchor moveWithCells="1">
                  <from>
                    <xdr:col>3</xdr:col>
                    <xdr:colOff>1514475</xdr:colOff>
                    <xdr:row>16</xdr:row>
                    <xdr:rowOff>104775</xdr:rowOff>
                  </from>
                  <to>
                    <xdr:col>4</xdr:col>
                    <xdr:colOff>28575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Option Button 14">
              <controlPr defaultSize="0" autoFill="0" autoLine="0" autoPict="0">
                <anchor moveWithCells="1">
                  <from>
                    <xdr:col>5</xdr:col>
                    <xdr:colOff>180975</xdr:colOff>
                    <xdr:row>16</xdr:row>
                    <xdr:rowOff>104775</xdr:rowOff>
                  </from>
                  <to>
                    <xdr:col>5</xdr:col>
                    <xdr:colOff>819150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Drop Down 15">
              <controlPr defaultSize="0" autoLine="0" autoPict="0">
                <anchor moveWithCells="1">
                  <from>
                    <xdr:col>3</xdr:col>
                    <xdr:colOff>619125</xdr:colOff>
                    <xdr:row>19</xdr:row>
                    <xdr:rowOff>0</xdr:rowOff>
                  </from>
                  <to>
                    <xdr:col>3</xdr:col>
                    <xdr:colOff>2052638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Check Box 16">
              <controlPr defaultSize="0" autoFill="0" autoLine="0" autoPict="0">
                <anchor moveWithCells="1">
                  <from>
                    <xdr:col>4</xdr:col>
                    <xdr:colOff>600075</xdr:colOff>
                    <xdr:row>18</xdr:row>
                    <xdr:rowOff>171450</xdr:rowOff>
                  </from>
                  <to>
                    <xdr:col>5</xdr:col>
                    <xdr:colOff>1290638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78271-AEDE-4CB8-84B9-90D512616C90}">
  <sheetPr codeName="Sheet13"/>
  <dimension ref="A1:A28"/>
  <sheetViews>
    <sheetView workbookViewId="0">
      <selection activeCell="A2" sqref="A2:A28"/>
    </sheetView>
  </sheetViews>
  <sheetFormatPr defaultRowHeight="14.25" x14ac:dyDescent="0.45"/>
  <cols>
    <col min="1" max="1" width="13.3984375" bestFit="1" customWidth="1"/>
  </cols>
  <sheetData>
    <row r="1" spans="1:1" x14ac:dyDescent="0.45">
      <c r="A1" t="s">
        <v>22</v>
      </c>
    </row>
    <row r="2" spans="1:1" x14ac:dyDescent="0.45">
      <c r="A2" s="6">
        <v>0.02</v>
      </c>
    </row>
    <row r="3" spans="1:1" x14ac:dyDescent="0.45">
      <c r="A3" s="6">
        <v>2.5000000000000001E-2</v>
      </c>
    </row>
    <row r="4" spans="1:1" x14ac:dyDescent="0.45">
      <c r="A4" s="6">
        <v>0.03</v>
      </c>
    </row>
    <row r="5" spans="1:1" x14ac:dyDescent="0.45">
      <c r="A5" s="6">
        <v>3.5000000000000003E-2</v>
      </c>
    </row>
    <row r="6" spans="1:1" x14ac:dyDescent="0.45">
      <c r="A6" s="6">
        <v>0.04</v>
      </c>
    </row>
    <row r="7" spans="1:1" x14ac:dyDescent="0.45">
      <c r="A7" s="6">
        <v>4.4999999999999998E-2</v>
      </c>
    </row>
    <row r="8" spans="1:1" x14ac:dyDescent="0.45">
      <c r="A8" s="6">
        <v>0.05</v>
      </c>
    </row>
    <row r="9" spans="1:1" x14ac:dyDescent="0.45">
      <c r="A9" s="6">
        <v>5.5E-2</v>
      </c>
    </row>
    <row r="10" spans="1:1" x14ac:dyDescent="0.45">
      <c r="A10" s="6">
        <v>0.06</v>
      </c>
    </row>
    <row r="11" spans="1:1" x14ac:dyDescent="0.45">
      <c r="A11" s="6">
        <v>6.5000000000000002E-2</v>
      </c>
    </row>
    <row r="12" spans="1:1" x14ac:dyDescent="0.45">
      <c r="A12" s="6">
        <v>7.0000000000000007E-2</v>
      </c>
    </row>
    <row r="13" spans="1:1" x14ac:dyDescent="0.45">
      <c r="A13" s="6">
        <v>7.4999999999999997E-2</v>
      </c>
    </row>
    <row r="14" spans="1:1" x14ac:dyDescent="0.45">
      <c r="A14" s="6">
        <v>0.08</v>
      </c>
    </row>
    <row r="15" spans="1:1" x14ac:dyDescent="0.45">
      <c r="A15" s="6">
        <v>8.5000000000000006E-2</v>
      </c>
    </row>
    <row r="16" spans="1:1" x14ac:dyDescent="0.45">
      <c r="A16" s="6">
        <v>0.09</v>
      </c>
    </row>
    <row r="17" spans="1:1" x14ac:dyDescent="0.45">
      <c r="A17" s="6">
        <v>9.5000000000000001E-2</v>
      </c>
    </row>
    <row r="18" spans="1:1" x14ac:dyDescent="0.45">
      <c r="A18" s="6">
        <v>0.1</v>
      </c>
    </row>
    <row r="19" spans="1:1" x14ac:dyDescent="0.45">
      <c r="A19" s="6">
        <v>0.105</v>
      </c>
    </row>
    <row r="20" spans="1:1" x14ac:dyDescent="0.45">
      <c r="A20" s="6">
        <v>0.11</v>
      </c>
    </row>
    <row r="21" spans="1:1" x14ac:dyDescent="0.45">
      <c r="A21" s="6">
        <v>0.115</v>
      </c>
    </row>
    <row r="22" spans="1:1" x14ac:dyDescent="0.45">
      <c r="A22" s="6">
        <v>0.12</v>
      </c>
    </row>
    <row r="23" spans="1:1" x14ac:dyDescent="0.45">
      <c r="A23" s="6">
        <v>0.125</v>
      </c>
    </row>
    <row r="24" spans="1:1" x14ac:dyDescent="0.45">
      <c r="A24" s="6">
        <v>0.13</v>
      </c>
    </row>
    <row r="25" spans="1:1" x14ac:dyDescent="0.45">
      <c r="A25" s="6">
        <v>0.13500000000000001</v>
      </c>
    </row>
    <row r="26" spans="1:1" x14ac:dyDescent="0.45">
      <c r="A26" s="6">
        <v>0.14000000000000001</v>
      </c>
    </row>
    <row r="27" spans="1:1" x14ac:dyDescent="0.45">
      <c r="A27" s="6">
        <v>0.14499999999999999</v>
      </c>
    </row>
    <row r="28" spans="1:1" x14ac:dyDescent="0.45">
      <c r="A28" s="6">
        <v>0.15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Step 13</vt:lpstr>
      <vt:lpstr>Step 1</vt:lpstr>
      <vt:lpstr>Step 2</vt:lpstr>
      <vt:lpstr>Step 3</vt:lpstr>
      <vt:lpstr>Step 4</vt:lpstr>
      <vt:lpstr>Step 5</vt:lpstr>
      <vt:lpstr>Step 6</vt:lpstr>
      <vt:lpstr>Step 7 (No IO)</vt:lpstr>
      <vt:lpstr>Step 7 (IO)</vt:lpstr>
      <vt:lpstr>Step 8</vt:lpstr>
      <vt:lpstr>Step 9</vt:lpstr>
      <vt:lpstr>Step 10</vt:lpstr>
      <vt:lpstr>Step 11</vt:lpstr>
      <vt:lpstr>InterestRates</vt:lpstr>
      <vt:lpstr>Interest_Rates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Koby Manning</dc:creator>
  <cp:lastModifiedBy>Koby Manning</cp:lastModifiedBy>
  <cp:lastPrinted>2023-04-29T17:27:07Z</cp:lastPrinted>
  <dcterms:created xsi:type="dcterms:W3CDTF">2023-04-18T00:36:56Z</dcterms:created>
  <dcterms:modified xsi:type="dcterms:W3CDTF">2023-04-29T18:36:34Z</dcterms:modified>
</cp:coreProperties>
</file>