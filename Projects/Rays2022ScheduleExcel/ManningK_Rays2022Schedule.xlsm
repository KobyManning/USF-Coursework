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8bd84b6468bc0858/Documents/USF Coursework/ISM 4547 Excel Data Modeling and Business Analytics/Module 3 Assignment/part b/"/>
    </mc:Choice>
  </mc:AlternateContent>
  <xr:revisionPtr revIDLastSave="0" documentId="13_ncr:1_{D7A1858F-6E52-4A5A-955F-CBFBB8EDBDE8}" xr6:coauthVersionLast="47" xr6:coauthVersionMax="47" xr10:uidLastSave="{00000000-0000-0000-0000-000000000000}"/>
  <bookViews>
    <workbookView xWindow="1185" yWindow="120" windowWidth="22980" windowHeight="16080" xr2:uid="{C7820E7D-D7BF-4DEF-B311-ECADEE622BEA}"/>
  </bookViews>
  <sheets>
    <sheet name="Documentation" sheetId="2" r:id="rId1"/>
    <sheet name="Game Input" sheetId="7" r:id="rId2"/>
    <sheet name="Input Back End" sheetId="8" r:id="rId3"/>
    <sheet name="Game Logs" sheetId="6" r:id="rId4"/>
    <sheet name="Combined Analysis" sheetId="9" r:id="rId5"/>
    <sheet name="Comparative Analysis" sheetId="10" r:id="rId6"/>
  </sheets>
  <definedNames>
    <definedName name="_xlnm._FilterDatabase" localSheetId="3" hidden="1">'Game Logs'!$A$1:$R$185</definedName>
    <definedName name="NativeTimeline_Date">#N/A</definedName>
    <definedName name="NativeTimeline_Date1">#N/A</definedName>
    <definedName name="NativeTimeline_Date2">#N/A</definedName>
    <definedName name="RaysData">'Game Logs'!$A$1:$R$185</definedName>
    <definedName name="Slicer_Date">#N/A</definedName>
    <definedName name="solver_eng" localSheetId="0" hidden="1">1</definedName>
    <definedName name="solver_neg" localSheetId="0" hidden="1">1</definedName>
    <definedName name="solver_num" localSheetId="0" hidden="1">0</definedName>
    <definedName name="solver_opt" localSheetId="0" hidden="1">Documentation!$E$17</definedName>
    <definedName name="solver_typ" localSheetId="0" hidden="1">1</definedName>
    <definedName name="solver_val" localSheetId="0" hidden="1">0</definedName>
    <definedName name="solver_ver" localSheetId="0" hidden="1">3</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8" l="1"/>
  <c r="A2" i="2"/>
  <c r="M16" i="7"/>
  <c r="Q3" i="8" s="1"/>
  <c r="O29" i="7"/>
  <c r="H13" i="8" s="1"/>
  <c r="AA3" i="8"/>
  <c r="Z3" i="8"/>
  <c r="Y3" i="8"/>
  <c r="X3" i="8"/>
  <c r="W3" i="8"/>
  <c r="V3" i="8"/>
  <c r="U3" i="8"/>
  <c r="T3" i="8"/>
  <c r="S3" i="8"/>
  <c r="R3" i="8"/>
  <c r="P3" i="8"/>
  <c r="O3" i="8"/>
  <c r="N3" i="8"/>
  <c r="J3" i="8"/>
  <c r="H14" i="8"/>
  <c r="H12" i="8"/>
  <c r="H15" i="8" l="1"/>
  <c r="M3"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Koby Manning</author>
  </authors>
  <commentList>
    <comment ref="M16" authorId="0" shapeId="0" xr:uid="{5F6115B1-B3EA-424D-95EE-FE1A8C326CDE}">
      <text>
        <r>
          <rPr>
            <b/>
            <sz val="9"/>
            <color indexed="81"/>
            <rFont val="Tahoma"/>
            <family val="2"/>
          </rPr>
          <t>Koby Manning:</t>
        </r>
        <r>
          <rPr>
            <sz val="9"/>
            <color indexed="81"/>
            <rFont val="Tahoma"/>
            <family val="2"/>
          </rPr>
          <t xml:space="preserve">
Fills Automatically based on H, 2B, 3B, HR</t>
        </r>
      </text>
    </comment>
  </commentList>
</comments>
</file>

<file path=xl/sharedStrings.xml><?xml version="1.0" encoding="utf-8"?>
<sst xmlns="http://schemas.openxmlformats.org/spreadsheetml/2006/main" count="625" uniqueCount="231">
  <si>
    <t>▼</t>
  </si>
  <si>
    <t>Year</t>
  </si>
  <si>
    <t>HR</t>
  </si>
  <si>
    <t>AB</t>
  </si>
  <si>
    <t>R</t>
  </si>
  <si>
    <t>H</t>
  </si>
  <si>
    <t>2B</t>
  </si>
  <si>
    <t>3B</t>
  </si>
  <si>
    <t>RBI</t>
  </si>
  <si>
    <t>SB</t>
  </si>
  <si>
    <t>CS</t>
  </si>
  <si>
    <t>BB</t>
  </si>
  <si>
    <t>SO</t>
  </si>
  <si>
    <t>HBP</t>
  </si>
  <si>
    <t>IBB</t>
  </si>
  <si>
    <t>WSN</t>
  </si>
  <si>
    <t>Away</t>
  </si>
  <si>
    <t>Home</t>
  </si>
  <si>
    <t>TOR</t>
  </si>
  <si>
    <t>TEX</t>
  </si>
  <si>
    <t>STL</t>
  </si>
  <si>
    <t>SFG</t>
  </si>
  <si>
    <t>SEA</t>
  </si>
  <si>
    <t>SDP</t>
  </si>
  <si>
    <t>PIT</t>
  </si>
  <si>
    <t>PHI</t>
  </si>
  <si>
    <t>OAK</t>
  </si>
  <si>
    <t>NYY</t>
  </si>
  <si>
    <t>NYM</t>
  </si>
  <si>
    <t>MIN</t>
  </si>
  <si>
    <t>MIL</t>
  </si>
  <si>
    <t>MIA</t>
  </si>
  <si>
    <t>LAD</t>
  </si>
  <si>
    <t>LAA</t>
  </si>
  <si>
    <t>KCR</t>
  </si>
  <si>
    <t>HOU</t>
  </si>
  <si>
    <t>DET</t>
  </si>
  <si>
    <t>COL</t>
  </si>
  <si>
    <t>CLE</t>
  </si>
  <si>
    <t>CIN</t>
  </si>
  <si>
    <t>CHW</t>
  </si>
  <si>
    <t>CHC</t>
  </si>
  <si>
    <t>BOS</t>
  </si>
  <si>
    <t>BAL</t>
  </si>
  <si>
    <t>ATL</t>
  </si>
  <si>
    <t>ARI</t>
  </si>
  <si>
    <t>Arizona Diamondbacks</t>
  </si>
  <si>
    <t>Atlanta Braves</t>
  </si>
  <si>
    <t>Baltimore Orioles</t>
  </si>
  <si>
    <t>Boston Red Sox</t>
  </si>
  <si>
    <t>Chicago Cubs</t>
  </si>
  <si>
    <t>Chicago White Sox</t>
  </si>
  <si>
    <t>Houston Astros</t>
  </si>
  <si>
    <t>Kansas City Royals</t>
  </si>
  <si>
    <t>Milwaukee Brewers</t>
  </si>
  <si>
    <t>Minnesota Twins</t>
  </si>
  <si>
    <t>New York Yankees</t>
  </si>
  <si>
    <t>Oakland Athletics</t>
  </si>
  <si>
    <t>Philadelphia Phillies</t>
  </si>
  <si>
    <t>Pittsburgh Pirates</t>
  </si>
  <si>
    <t>Seattle Mariners</t>
  </si>
  <si>
    <t>San Francisco Giants</t>
  </si>
  <si>
    <t>Texas Rangers</t>
  </si>
  <si>
    <t>Toronto Blue Jays</t>
  </si>
  <si>
    <t>Washington Nationals</t>
  </si>
  <si>
    <t>Season</t>
  </si>
  <si>
    <t>W</t>
  </si>
  <si>
    <t>L</t>
  </si>
  <si>
    <t>@</t>
  </si>
  <si>
    <t>W 7-5</t>
  </si>
  <si>
    <t>W 7-3</t>
  </si>
  <si>
    <t>W 6-5</t>
  </si>
  <si>
    <t>W 6-4</t>
  </si>
  <si>
    <t>W 6-3</t>
  </si>
  <si>
    <t>W 6-1</t>
  </si>
  <si>
    <t>W 5-3</t>
  </si>
  <si>
    <t>W 5-2</t>
  </si>
  <si>
    <t>W 5-1</t>
  </si>
  <si>
    <t>W 4-3 (10)</t>
  </si>
  <si>
    <t>W 4-3</t>
  </si>
  <si>
    <t>W 4-2</t>
  </si>
  <si>
    <t>W 4-1</t>
  </si>
  <si>
    <t>W 4-0</t>
  </si>
  <si>
    <t>W 3-2</t>
  </si>
  <si>
    <t>W 3-1</t>
  </si>
  <si>
    <t>W 3-0</t>
  </si>
  <si>
    <t>W 2-1</t>
  </si>
  <si>
    <t>L 5-9</t>
  </si>
  <si>
    <t>L 5-10</t>
  </si>
  <si>
    <t>L 4-9</t>
  </si>
  <si>
    <t>L 4-8</t>
  </si>
  <si>
    <t>L 3-5</t>
  </si>
  <si>
    <t>L 3-4</t>
  </si>
  <si>
    <t>L 2-7</t>
  </si>
  <si>
    <t>L 2-5</t>
  </si>
  <si>
    <t>L 2-4</t>
  </si>
  <si>
    <t>L 2-13</t>
  </si>
  <si>
    <t>L 1-8</t>
  </si>
  <si>
    <t>L 1-7</t>
  </si>
  <si>
    <t>L 1-5</t>
  </si>
  <si>
    <t>L 1-4</t>
  </si>
  <si>
    <t>L 1-3</t>
  </si>
  <si>
    <t>L 1-2</t>
  </si>
  <si>
    <t>L 0-3</t>
  </si>
  <si>
    <t>L 0-2</t>
  </si>
  <si>
    <t>L 0-1</t>
  </si>
  <si>
    <t>Date</t>
  </si>
  <si>
    <t>Opp</t>
  </si>
  <si>
    <t>Result</t>
  </si>
  <si>
    <t>1B</t>
  </si>
  <si>
    <t>W 8-1</t>
  </si>
  <si>
    <t>L 3-6</t>
  </si>
  <si>
    <t>W 9-3</t>
  </si>
  <si>
    <t>W 9-7</t>
  </si>
  <si>
    <t>W 7-2</t>
  </si>
  <si>
    <t>W 1-0</t>
  </si>
  <si>
    <t>W 11-0</t>
  </si>
  <si>
    <t>W 9-5</t>
  </si>
  <si>
    <t>W 10-6</t>
  </si>
  <si>
    <t>W 6-2</t>
  </si>
  <si>
    <t>W 12-2</t>
  </si>
  <si>
    <t>W 8-7</t>
  </si>
  <si>
    <t>W 8-0</t>
  </si>
  <si>
    <t>W 10-0</t>
  </si>
  <si>
    <t>L 0-6 (5)</t>
  </si>
  <si>
    <t>L 1-2 (10)</t>
  </si>
  <si>
    <t>W 6-5 (11)</t>
  </si>
  <si>
    <t>W 10-5</t>
  </si>
  <si>
    <t>L 0-5</t>
  </si>
  <si>
    <t>L 0-4</t>
  </si>
  <si>
    <t>L 2-3</t>
  </si>
  <si>
    <t>L 4-10</t>
  </si>
  <si>
    <t>L 3-10</t>
  </si>
  <si>
    <t>W 8-4</t>
  </si>
  <si>
    <t>W 9-0</t>
  </si>
  <si>
    <t>W 2-1 (10)</t>
  </si>
  <si>
    <t>W 12-4</t>
  </si>
  <si>
    <t>L 8-9</t>
  </si>
  <si>
    <t>W 8-3</t>
  </si>
  <si>
    <t>W 4-3 (11)</t>
  </si>
  <si>
    <t>W 11-1</t>
  </si>
  <si>
    <t>L 2-3 (10)</t>
  </si>
  <si>
    <t>W 7-1</t>
  </si>
  <si>
    <t>L 7-8 (10)</t>
  </si>
  <si>
    <t>W 8-2</t>
  </si>
  <si>
    <t>L 3-4 (10)</t>
  </si>
  <si>
    <t>W 7-0</t>
  </si>
  <si>
    <t>L 1-9</t>
  </si>
  <si>
    <t>W 6-4 (10)</t>
  </si>
  <si>
    <t>L 4-6 (11)</t>
  </si>
  <si>
    <t>W 5-4</t>
  </si>
  <si>
    <t>L 4-5 (10)</t>
  </si>
  <si>
    <t>W 11-5</t>
  </si>
  <si>
    <t>L 2-9</t>
  </si>
  <si>
    <t>L 4-5</t>
  </si>
  <si>
    <t>W 7-6</t>
  </si>
  <si>
    <t>W 6-0</t>
  </si>
  <si>
    <t>L 5-6</t>
  </si>
  <si>
    <t>W 11-3</t>
  </si>
  <si>
    <t>W 4-2 (10)</t>
  </si>
  <si>
    <t>L 6-7 (11)</t>
  </si>
  <si>
    <t>L 6-8 (13)</t>
  </si>
  <si>
    <t>L 0-12</t>
  </si>
  <si>
    <t>L 3-11</t>
  </si>
  <si>
    <t>W 10-7 (10)</t>
  </si>
  <si>
    <t>L 3-9</t>
  </si>
  <si>
    <t>W 3-2 (10)</t>
  </si>
  <si>
    <t>W 8-2 (6)</t>
  </si>
  <si>
    <t>W 9-8 (10)</t>
  </si>
  <si>
    <t>Tampa Bay Rays - Game Input</t>
  </si>
  <si>
    <t>Date:</t>
  </si>
  <si>
    <t>Home/Away:</t>
  </si>
  <si>
    <t>AB:</t>
  </si>
  <si>
    <t>H:</t>
  </si>
  <si>
    <t>HR:</t>
  </si>
  <si>
    <t>R:</t>
  </si>
  <si>
    <t>RBI:</t>
  </si>
  <si>
    <t>SO:</t>
  </si>
  <si>
    <t>BB:</t>
  </si>
  <si>
    <t>Result:</t>
  </si>
  <si>
    <t>RA</t>
  </si>
  <si>
    <t>RA:</t>
  </si>
  <si>
    <t>Win</t>
  </si>
  <si>
    <t>Loss</t>
  </si>
  <si>
    <t>SB:</t>
  </si>
  <si>
    <t>CS:</t>
  </si>
  <si>
    <t>Opponent:</t>
  </si>
  <si>
    <t>Teams</t>
  </si>
  <si>
    <t>FLA</t>
  </si>
  <si>
    <t>KAN</t>
  </si>
  <si>
    <t>WAS</t>
  </si>
  <si>
    <t xml:space="preserve">Cincinnati Reds </t>
  </si>
  <si>
    <t xml:space="preserve">Colorado Rockies </t>
  </si>
  <si>
    <t>Cleveland Guardians</t>
  </si>
  <si>
    <t xml:space="preserve">Detroit Tigers </t>
  </si>
  <si>
    <t>Florida Marlins</t>
  </si>
  <si>
    <t>Los Angeles Angels of Anaheim</t>
  </si>
  <si>
    <t xml:space="preserve">Los Angeles Dodgers </t>
  </si>
  <si>
    <t xml:space="preserve">New York Mets </t>
  </si>
  <si>
    <t xml:space="preserve">San Diego Padres </t>
  </si>
  <si>
    <t xml:space="preserve">St. Louis Cardinals </t>
  </si>
  <si>
    <t>Home Away</t>
  </si>
  <si>
    <t>Result Builder</t>
  </si>
  <si>
    <t>WL:</t>
  </si>
  <si>
    <t>Grand Total</t>
  </si>
  <si>
    <t>IBB:</t>
  </si>
  <si>
    <t>HBP:</t>
  </si>
  <si>
    <t>Home
Away</t>
  </si>
  <si>
    <t>1B:</t>
  </si>
  <si>
    <t>2B:</t>
  </si>
  <si>
    <t>3B:</t>
  </si>
  <si>
    <t xml:space="preserve">AVG </t>
  </si>
  <si>
    <t xml:space="preserve">OBP </t>
  </si>
  <si>
    <t xml:space="preserve">SLG </t>
  </si>
  <si>
    <t xml:space="preserve">OPS </t>
  </si>
  <si>
    <t>Games</t>
  </si>
  <si>
    <t>Singles</t>
  </si>
  <si>
    <t>Doubles</t>
  </si>
  <si>
    <t>Triples</t>
  </si>
  <si>
    <t>Home Runs</t>
  </si>
  <si>
    <t>2022</t>
  </si>
  <si>
    <t>2023</t>
  </si>
  <si>
    <t>Stolen Bases</t>
  </si>
  <si>
    <t>Caught Stealing</t>
  </si>
  <si>
    <t>Innings:</t>
  </si>
  <si>
    <t>Splits</t>
  </si>
  <si>
    <t>Outcome</t>
  </si>
  <si>
    <t>Statistic</t>
  </si>
  <si>
    <t>Slash Stats</t>
  </si>
  <si>
    <t>Koby Manning</t>
  </si>
  <si>
    <t>W 4 - 1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</si>
</sst>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0" x14ac:knownFonts="1">
    <font>
      <sz val="11"/>
      <color theme="1"/>
      <name val="Calibri"/>
      <family val="2"/>
      <scheme val="minor"/>
    </font>
    <font>
      <b/>
      <sz val="11"/>
      <color theme="1"/>
      <name val="Calibri"/>
      <family val="2"/>
      <scheme val="minor"/>
    </font>
    <font>
      <b/>
      <sz val="8.6"/>
      <color rgb="FF990000"/>
      <name val="Verdana"/>
      <family val="2"/>
    </font>
    <font>
      <sz val="8.6"/>
      <color rgb="FF000000"/>
      <name val="Verdana"/>
      <family val="2"/>
    </font>
    <font>
      <u/>
      <sz val="11"/>
      <color theme="10"/>
      <name val="Calibri"/>
      <family val="2"/>
      <scheme val="minor"/>
    </font>
    <font>
      <sz val="11"/>
      <name val="Calibri"/>
      <family val="2"/>
      <scheme val="minor"/>
    </font>
    <font>
      <b/>
      <sz val="12"/>
      <name val="Calibri"/>
      <family val="2"/>
      <scheme val="minor"/>
    </font>
    <font>
      <sz val="9"/>
      <color indexed="81"/>
      <name val="Tahoma"/>
      <family val="2"/>
    </font>
    <font>
      <b/>
      <sz val="9"/>
      <color indexed="81"/>
      <name val="Tahoma"/>
      <family val="2"/>
    </font>
    <font>
      <sz val="8"/>
      <color rgb="FF000000"/>
      <name val="Segoe UI"/>
      <family val="2"/>
    </font>
  </fonts>
  <fills count="8">
    <fill>
      <patternFill patternType="none"/>
    </fill>
    <fill>
      <patternFill patternType="gray125"/>
    </fill>
    <fill>
      <patternFill patternType="solid">
        <fgColor rgb="FFFFFFFF"/>
        <bgColor indexed="64"/>
      </patternFill>
    </fill>
    <fill>
      <patternFill patternType="solid">
        <fgColor rgb="FFEEEEEE"/>
        <bgColor indexed="64"/>
      </patternFill>
    </fill>
    <fill>
      <patternFill patternType="solid">
        <fgColor theme="8"/>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42">
    <border>
      <left/>
      <right/>
      <top/>
      <bottom/>
      <diagonal/>
    </border>
    <border>
      <left style="medium">
        <color rgb="FFDDDDDD"/>
      </left>
      <right/>
      <top/>
      <bottom/>
      <diagonal/>
    </border>
    <border>
      <left style="medium">
        <color rgb="FFDDDDDD"/>
      </left>
      <right/>
      <top/>
      <bottom style="dotted">
        <color rgb="FFDDDDDD"/>
      </bottom>
      <diagonal/>
    </border>
    <border>
      <left style="medium">
        <color rgb="FFDDDDDD"/>
      </left>
      <right style="medium">
        <color rgb="FF747678"/>
      </right>
      <top style="medium">
        <color rgb="FF747678"/>
      </top>
      <bottom/>
      <diagonal/>
    </border>
    <border>
      <left style="medium">
        <color rgb="FFDDDDDD"/>
      </left>
      <right style="medium">
        <color rgb="FF747678"/>
      </right>
      <top/>
      <bottom style="medium">
        <color rgb="FF747678"/>
      </bottom>
      <diagonal/>
    </border>
    <border>
      <left style="medium">
        <color rgb="FFDDDDDD"/>
      </left>
      <right style="medium">
        <color rgb="FF747678"/>
      </right>
      <top/>
      <bottom style="dotted">
        <color rgb="FFDDDDDD"/>
      </bottom>
      <diagonal/>
    </border>
    <border>
      <left style="medium">
        <color rgb="FFDDDDDD"/>
      </left>
      <right style="medium">
        <color rgb="FF747678"/>
      </right>
      <top/>
      <bottom/>
      <diagonal/>
    </border>
    <border>
      <left style="medium">
        <color rgb="FF747678"/>
      </left>
      <right style="medium">
        <color rgb="FFDDDDDD"/>
      </right>
      <top style="medium">
        <color rgb="FF747678"/>
      </top>
      <bottom/>
      <diagonal/>
    </border>
    <border>
      <left style="medium">
        <color rgb="FF747678"/>
      </left>
      <right style="medium">
        <color rgb="FFDDDDDD"/>
      </right>
      <top/>
      <bottom style="medium">
        <color rgb="FF747678"/>
      </bottom>
      <diagonal/>
    </border>
    <border>
      <left style="medium">
        <color rgb="FFDDDDDD"/>
      </left>
      <right style="medium">
        <color rgb="FFDDDDDD"/>
      </right>
      <top style="medium">
        <color rgb="FF747678"/>
      </top>
      <bottom/>
      <diagonal/>
    </border>
    <border>
      <left style="medium">
        <color rgb="FFDDDDDD"/>
      </left>
      <right style="medium">
        <color rgb="FFDDDDDD"/>
      </right>
      <top/>
      <bottom style="medium">
        <color rgb="FF74767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style="thin">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bottom/>
      <diagonal/>
    </border>
    <border>
      <left style="thin">
        <color auto="1"/>
      </left>
      <right style="thin">
        <color auto="1"/>
      </right>
      <top/>
      <bottom/>
      <diagonal/>
    </border>
    <border>
      <left/>
      <right/>
      <top style="thin">
        <color auto="1"/>
      </top>
      <bottom/>
      <diagonal/>
    </border>
    <border>
      <left style="thin">
        <color auto="1"/>
      </left>
      <right/>
      <top/>
      <bottom/>
      <diagonal/>
    </border>
    <border>
      <left/>
      <right/>
      <top/>
      <bottom style="thin">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2">
    <xf numFmtId="0" fontId="0" fillId="0" borderId="0"/>
    <xf numFmtId="0" fontId="4" fillId="0" borderId="0" applyNumberFormat="0" applyFill="0" applyBorder="0" applyAlignment="0" applyProtection="0"/>
  </cellStyleXfs>
  <cellXfs count="91">
    <xf numFmtId="0" fontId="0" fillId="0" borderId="0" xfId="0"/>
    <xf numFmtId="0" fontId="4" fillId="2" borderId="2" xfId="1" applyFill="1" applyBorder="1" applyAlignment="1">
      <alignment horizontal="left" vertical="center"/>
    </xf>
    <xf numFmtId="0" fontId="3" fillId="2" borderId="2" xfId="0" applyFont="1" applyFill="1" applyBorder="1" applyAlignment="1">
      <alignment horizontal="right" vertical="center"/>
    </xf>
    <xf numFmtId="0" fontId="3" fillId="2" borderId="5" xfId="0" applyFont="1" applyFill="1" applyBorder="1" applyAlignment="1">
      <alignment horizontal="right" vertical="center"/>
    </xf>
    <xf numFmtId="0" fontId="4" fillId="2" borderId="1" xfId="1" applyFill="1" applyBorder="1" applyAlignment="1">
      <alignment horizontal="left" vertical="center"/>
    </xf>
    <xf numFmtId="0" fontId="3" fillId="2" borderId="1" xfId="0" applyFont="1" applyFill="1" applyBorder="1" applyAlignment="1">
      <alignment horizontal="right" vertical="center"/>
    </xf>
    <xf numFmtId="0" fontId="3" fillId="2" borderId="6" xfId="0" applyFont="1" applyFill="1" applyBorder="1" applyAlignment="1">
      <alignment horizontal="right" vertical="center"/>
    </xf>
    <xf numFmtId="0" fontId="2" fillId="3" borderId="9" xfId="0" applyFont="1" applyFill="1" applyBorder="1" applyAlignment="1">
      <alignment horizontal="center" vertical="center"/>
    </xf>
    <xf numFmtId="14" fontId="4" fillId="2" borderId="2" xfId="1" applyNumberFormat="1" applyFill="1" applyBorder="1" applyAlignment="1">
      <alignment horizontal="left" vertical="center"/>
    </xf>
    <xf numFmtId="0" fontId="3" fillId="2" borderId="2" xfId="0" applyFont="1" applyFill="1" applyBorder="1" applyAlignment="1">
      <alignment horizontal="center" vertical="center"/>
    </xf>
    <xf numFmtId="14" fontId="4" fillId="2" borderId="1" xfId="1" applyNumberFormat="1" applyFill="1" applyBorder="1" applyAlignment="1">
      <alignment horizontal="left" vertical="center"/>
    </xf>
    <xf numFmtId="0" fontId="3" fillId="2" borderId="1"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23" xfId="0" applyBorder="1"/>
    <xf numFmtId="0" fontId="0" fillId="0" borderId="24" xfId="0" applyBorder="1"/>
    <xf numFmtId="0" fontId="5" fillId="5" borderId="11" xfId="0" applyFont="1" applyFill="1" applyBorder="1"/>
    <xf numFmtId="0" fontId="5" fillId="6" borderId="0" xfId="0" applyFont="1" applyFill="1"/>
    <xf numFmtId="0" fontId="5" fillId="0" borderId="23" xfId="0" applyFont="1" applyBorder="1"/>
    <xf numFmtId="0" fontId="5" fillId="0" borderId="0" xfId="0" applyFont="1"/>
    <xf numFmtId="0" fontId="5" fillId="0" borderId="24" xfId="0" applyFont="1" applyBorder="1"/>
    <xf numFmtId="0" fontId="5" fillId="0" borderId="27" xfId="0" applyFont="1" applyBorder="1"/>
    <xf numFmtId="0" fontId="5" fillId="0" borderId="28" xfId="0" applyFont="1" applyBorder="1"/>
    <xf numFmtId="14" fontId="5" fillId="5" borderId="11" xfId="0" applyNumberFormat="1" applyFont="1" applyFill="1" applyBorder="1"/>
    <xf numFmtId="0" fontId="5" fillId="6" borderId="0" xfId="0" applyFont="1" applyFill="1" applyAlignment="1">
      <alignment horizontal="center"/>
    </xf>
    <xf numFmtId="0" fontId="5" fillId="5" borderId="11" xfId="0" applyFont="1" applyFill="1" applyBorder="1" applyAlignment="1">
      <alignment horizontal="center"/>
    </xf>
    <xf numFmtId="0" fontId="5" fillId="5" borderId="16" xfId="0" applyFont="1" applyFill="1" applyBorder="1" applyAlignment="1">
      <alignment horizontal="center"/>
    </xf>
    <xf numFmtId="0" fontId="5" fillId="0" borderId="26" xfId="0" applyFont="1" applyBorder="1"/>
    <xf numFmtId="0" fontId="0" fillId="0" borderId="12" xfId="0" applyBorder="1"/>
    <xf numFmtId="0" fontId="0" fillId="0" borderId="34" xfId="0" applyBorder="1"/>
    <xf numFmtId="0" fontId="0" fillId="0" borderId="13" xfId="0" applyBorder="1"/>
    <xf numFmtId="0" fontId="0" fillId="0" borderId="35" xfId="0" applyBorder="1"/>
    <xf numFmtId="0" fontId="0" fillId="0" borderId="18" xfId="0" applyBorder="1"/>
    <xf numFmtId="0" fontId="0" fillId="0" borderId="14" xfId="0" applyBorder="1"/>
    <xf numFmtId="0" fontId="0" fillId="0" borderId="36" xfId="0" applyBorder="1"/>
    <xf numFmtId="0" fontId="0" fillId="0" borderId="15" xfId="0" applyBorder="1"/>
    <xf numFmtId="0" fontId="1" fillId="0" borderId="12" xfId="0" applyFont="1" applyBorder="1"/>
    <xf numFmtId="14" fontId="0" fillId="7" borderId="0" xfId="0" applyNumberFormat="1" applyFill="1"/>
    <xf numFmtId="0" fontId="0" fillId="7" borderId="0" xfId="0" applyFill="1" applyAlignment="1">
      <alignment horizontal="center"/>
    </xf>
    <xf numFmtId="0" fontId="0" fillId="7" borderId="0" xfId="0" applyFill="1"/>
    <xf numFmtId="0" fontId="2" fillId="3" borderId="8" xfId="0" applyFont="1" applyFill="1" applyBorder="1" applyAlignment="1">
      <alignment horizontal="center" vertical="center"/>
    </xf>
    <xf numFmtId="14" fontId="0" fillId="0" borderId="0" xfId="0" applyNumberFormat="1" applyAlignment="1">
      <alignment horizontal="left"/>
    </xf>
    <xf numFmtId="0" fontId="0" fillId="0" borderId="20" xfId="0" pivotButton="1" applyBorder="1"/>
    <xf numFmtId="0" fontId="0" fillId="0" borderId="21" xfId="0" pivotButton="1" applyBorder="1"/>
    <xf numFmtId="0" fontId="0" fillId="0" borderId="21" xfId="0" applyBorder="1"/>
    <xf numFmtId="0" fontId="0" fillId="0" borderId="22" xfId="0" applyBorder="1"/>
    <xf numFmtId="0" fontId="0" fillId="0" borderId="23" xfId="0" pivotButton="1" applyBorder="1"/>
    <xf numFmtId="0" fontId="0" fillId="0" borderId="23" xfId="0" applyBorder="1" applyAlignment="1">
      <alignment horizontal="left"/>
    </xf>
    <xf numFmtId="0" fontId="0" fillId="0" borderId="26" xfId="0" applyBorder="1" applyAlignment="1">
      <alignment horizontal="left"/>
    </xf>
    <xf numFmtId="164" fontId="0" fillId="0" borderId="24" xfId="0" applyNumberFormat="1" applyBorder="1"/>
    <xf numFmtId="164" fontId="0" fillId="0" borderId="28" xfId="0" applyNumberFormat="1" applyBorder="1"/>
    <xf numFmtId="0" fontId="0" fillId="0" borderId="37" xfId="0" applyBorder="1"/>
    <xf numFmtId="0" fontId="0" fillId="0" borderId="38" xfId="0" applyBorder="1"/>
    <xf numFmtId="0" fontId="0" fillId="0" borderId="19" xfId="0" pivotButton="1" applyBorder="1"/>
    <xf numFmtId="0" fontId="0" fillId="0" borderId="37" xfId="0" applyBorder="1" applyAlignment="1">
      <alignment horizontal="left"/>
    </xf>
    <xf numFmtId="0" fontId="0" fillId="0" borderId="38" xfId="0" applyBorder="1" applyAlignment="1">
      <alignment horizontal="left"/>
    </xf>
    <xf numFmtId="0" fontId="0" fillId="0" borderId="19" xfId="0" applyBorder="1"/>
    <xf numFmtId="0" fontId="0" fillId="0" borderId="19" xfId="0" applyBorder="1" applyAlignment="1">
      <alignment horizontal="left"/>
    </xf>
    <xf numFmtId="0" fontId="0" fillId="0" borderId="39" xfId="0" applyBorder="1"/>
    <xf numFmtId="0" fontId="0" fillId="0" borderId="40" xfId="0" applyBorder="1"/>
    <xf numFmtId="0" fontId="0" fillId="0" borderId="41" xfId="0" applyBorder="1"/>
    <xf numFmtId="164" fontId="0" fillId="0" borderId="20" xfId="0" applyNumberFormat="1" applyBorder="1"/>
    <xf numFmtId="164" fontId="0" fillId="0" borderId="22" xfId="0" applyNumberFormat="1" applyBorder="1"/>
    <xf numFmtId="164" fontId="0" fillId="0" borderId="23" xfId="0" applyNumberFormat="1" applyBorder="1"/>
    <xf numFmtId="164" fontId="0" fillId="0" borderId="26" xfId="0" applyNumberFormat="1" applyBorder="1"/>
    <xf numFmtId="0" fontId="0" fillId="0" borderId="32" xfId="0" applyBorder="1" applyAlignment="1">
      <alignment horizontal="left"/>
    </xf>
    <xf numFmtId="0" fontId="0" fillId="0" borderId="32" xfId="0" applyBorder="1"/>
    <xf numFmtId="0" fontId="0" fillId="0" borderId="0" xfId="0" applyAlignment="1">
      <alignment horizontal="left" vertical="top" wrapText="1"/>
    </xf>
    <xf numFmtId="0" fontId="5" fillId="7" borderId="11" xfId="0" applyFont="1" applyFill="1" applyBorder="1" applyAlignment="1">
      <alignment horizontal="center"/>
    </xf>
    <xf numFmtId="0" fontId="2" fillId="3" borderId="9" xfId="0" applyFont="1" applyFill="1" applyBorder="1" applyAlignment="1">
      <alignment horizontal="center" vertical="center" wrapText="1"/>
    </xf>
    <xf numFmtId="0" fontId="0" fillId="0" borderId="28" xfId="0" applyBorder="1"/>
    <xf numFmtId="0" fontId="0" fillId="0" borderId="26" xfId="0" applyBorder="1"/>
    <xf numFmtId="0" fontId="0" fillId="0" borderId="27" xfId="0" applyBorder="1"/>
    <xf numFmtId="0" fontId="0" fillId="0" borderId="20" xfId="0" applyBorder="1"/>
    <xf numFmtId="0" fontId="6" fillId="4" borderId="29" xfId="0" applyFont="1" applyFill="1" applyBorder="1" applyAlignment="1">
      <alignment horizontal="center" vertical="center"/>
    </xf>
    <xf numFmtId="0" fontId="6" fillId="4" borderId="30" xfId="0" applyFont="1" applyFill="1" applyBorder="1" applyAlignment="1">
      <alignment horizontal="center" vertical="center"/>
    </xf>
    <xf numFmtId="0" fontId="6" fillId="4" borderId="31" xfId="0" applyFont="1" applyFill="1" applyBorder="1" applyAlignment="1">
      <alignment horizontal="center" vertical="center"/>
    </xf>
    <xf numFmtId="0" fontId="5" fillId="0" borderId="23" xfId="0" applyFont="1" applyBorder="1" applyAlignment="1">
      <alignment vertical="center"/>
    </xf>
    <xf numFmtId="0" fontId="5" fillId="0" borderId="12" xfId="0" applyFont="1" applyBorder="1"/>
    <xf numFmtId="0" fontId="5" fillId="0" borderId="13" xfId="0" applyFont="1" applyBorder="1"/>
    <xf numFmtId="0" fontId="5" fillId="0" borderId="14" xfId="0" applyFont="1" applyBorder="1"/>
    <xf numFmtId="0" fontId="5" fillId="0" borderId="15" xfId="0" applyFont="1" applyBorder="1"/>
    <xf numFmtId="0" fontId="5" fillId="0" borderId="17" xfId="0" applyFont="1" applyBorder="1"/>
    <xf numFmtId="0" fontId="5" fillId="0" borderId="33" xfId="0" applyFont="1" applyBorder="1"/>
    <xf numFmtId="0" fontId="5" fillId="0" borderId="25" xfId="0" applyFont="1" applyBorder="1" applyAlignment="1">
      <alignment vertical="center"/>
    </xf>
    <xf numFmtId="0" fontId="5" fillId="0" borderId="25" xfId="0" applyFont="1" applyBorder="1"/>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7" xfId="0" applyFont="1" applyFill="1" applyBorder="1" applyAlignment="1">
      <alignment horizontal="center" vertical="center" wrapText="1"/>
    </xf>
    <xf numFmtId="0" fontId="0" fillId="0" borderId="8" xfId="0"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cellXfs>
  <cellStyles count="2">
    <cellStyle name="Hyperlink" xfId="1" builtinId="8"/>
    <cellStyle name="Normal" xfId="0" builtinId="0"/>
  </cellStyles>
  <dxfs count="29">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
      <fill>
        <patternFill>
          <bgColor theme="7" tint="0.59996337778862885"/>
        </patternFill>
      </fill>
    </dxf>
    <dxf>
      <fill>
        <patternFill>
          <bgColor theme="8"/>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11/relationships/timelineCache" Target="timelineCaches/timelineCache2.xml"/><Relationship Id="rId4" Type="http://schemas.openxmlformats.org/officeDocument/2006/relationships/worksheet" Target="worksheets/sheet4.xml"/><Relationship Id="rId9" Type="http://schemas.microsoft.com/office/2011/relationships/timelineCache" Target="timelineCaches/timeline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[ManningK_Mod3b.xlsm]Combined Analysis!PivotTable4</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Slash Stats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'Combined Analysis'!$C$15:$C$16</c:f>
              <c:strCache>
                <c:ptCount val="1"/>
                <c:pt idx="0">
                  <c:v>Away</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Analysis'!$B$17:$B$20</c:f>
              <c:strCache>
                <c:ptCount val="4"/>
                <c:pt idx="0">
                  <c:v>AVG </c:v>
                </c:pt>
                <c:pt idx="1">
                  <c:v>OBP </c:v>
                </c:pt>
                <c:pt idx="2">
                  <c:v>SLG </c:v>
                </c:pt>
                <c:pt idx="3">
                  <c:v>OPS </c:v>
                </c:pt>
              </c:strCache>
            </c:strRef>
          </c:cat>
          <c:val>
            <c:numRef>
              <c:f>'Combined Analysis'!$C$17:$C$20</c:f>
              <c:numCache>
                <c:formatCode>0.000</c:formatCode>
                <c:ptCount val="4"/>
                <c:pt idx="0">
                  <c:v>0.24224000000000001</c:v>
                </c:pt>
                <c:pt idx="1">
                  <c:v>0.3116279069767442</c:v>
                </c:pt>
                <c:pt idx="2">
                  <c:v>0.38303999999999999</c:v>
                </c:pt>
                <c:pt idx="3">
                  <c:v>0.69466790697674419</c:v>
                </c:pt>
              </c:numCache>
            </c:numRef>
          </c:val>
          <c:extLst>
            <c:ext xmlns:c16="http://schemas.microsoft.com/office/drawing/2014/chart" uri="{C3380CC4-5D6E-409C-BE32-E72D297353CC}">
              <c16:uniqueId val="{00000000-C54D-451C-AB75-74BE878C1EF8}"/>
            </c:ext>
          </c:extLst>
        </c:ser>
        <c:ser>
          <c:idx val="1"/>
          <c:order val="1"/>
          <c:tx>
            <c:strRef>
              <c:f>'Combined Analysis'!$D$15:$D$16</c:f>
              <c:strCache>
                <c:ptCount val="1"/>
                <c:pt idx="0">
                  <c:v>Home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Analysis'!$B$17:$B$20</c:f>
              <c:strCache>
                <c:ptCount val="4"/>
                <c:pt idx="0">
                  <c:v>AVG </c:v>
                </c:pt>
                <c:pt idx="1">
                  <c:v>OBP </c:v>
                </c:pt>
                <c:pt idx="2">
                  <c:v>SLG </c:v>
                </c:pt>
                <c:pt idx="3">
                  <c:v>OPS </c:v>
                </c:pt>
              </c:strCache>
            </c:strRef>
          </c:cat>
          <c:val>
            <c:numRef>
              <c:f>'Combined Analysis'!$D$17:$D$20</c:f>
              <c:numCache>
                <c:formatCode>0.000</c:formatCode>
                <c:ptCount val="4"/>
                <c:pt idx="0">
                  <c:v>0.24654377880184331</c:v>
                </c:pt>
                <c:pt idx="1">
                  <c:v>0.32016632016632018</c:v>
                </c:pt>
                <c:pt idx="2">
                  <c:v>0.4098090849242923</c:v>
                </c:pt>
                <c:pt idx="3">
                  <c:v>0.72997540509061243</c:v>
                </c:pt>
              </c:numCache>
            </c:numRef>
          </c:val>
          <c:extLst>
            <c:ext xmlns:c16="http://schemas.microsoft.com/office/drawing/2014/chart" uri="{C3380CC4-5D6E-409C-BE32-E72D297353CC}">
              <c16:uniqueId val="{00000001-D685-4344-B80C-210F2894A79C}"/>
            </c:ext>
          </c:extLst>
        </c:ser>
        <c:dLbls>
          <c:dLblPos val="inEnd"/>
          <c:showLegendKey val="0"/>
          <c:showVal val="1"/>
          <c:showCatName val="0"/>
          <c:showSerName val="0"/>
          <c:showPercent val="0"/>
          <c:showBubbleSize val="0"/>
        </c:dLbls>
        <c:gapWidth val="65"/>
        <c:axId val="47379024"/>
        <c:axId val="47377104"/>
      </c:barChart>
      <c:catAx>
        <c:axId val="4737902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7377104"/>
        <c:crosses val="autoZero"/>
        <c:auto val="1"/>
        <c:lblAlgn val="ctr"/>
        <c:lblOffset val="100"/>
        <c:noMultiLvlLbl val="0"/>
      </c:catAx>
      <c:valAx>
        <c:axId val="47377104"/>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0" sourceLinked="1"/>
        <c:majorTickMark val="none"/>
        <c:minorTickMark val="none"/>
        <c:tickLblPos val="nextTo"/>
        <c:crossAx val="473790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[ManningK_Mod3b.xlsm]Combined Analysis!PivotTable5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Distribution of Hit Type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'Combined Analysis'!$C$35</c:f>
              <c:strCache>
                <c:ptCount val="1"/>
                <c:pt idx="0">
                  <c:v>Singles</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Analysis'!$B$36:$B$38</c:f>
              <c:strCache>
                <c:ptCount val="2"/>
                <c:pt idx="0">
                  <c:v>Away</c:v>
                </c:pt>
                <c:pt idx="1">
                  <c:v>Home</c:v>
                </c:pt>
              </c:strCache>
            </c:strRef>
          </c:cat>
          <c:val>
            <c:numRef>
              <c:f>'Combined Analysis'!$C$36:$C$38</c:f>
              <c:numCache>
                <c:formatCode>General</c:formatCode>
                <c:ptCount val="2"/>
                <c:pt idx="0">
                  <c:v>501</c:v>
                </c:pt>
                <c:pt idx="1">
                  <c:v>462</c:v>
                </c:pt>
              </c:numCache>
            </c:numRef>
          </c:val>
          <c:extLst>
            <c:ext xmlns:c16="http://schemas.microsoft.com/office/drawing/2014/chart" uri="{C3380CC4-5D6E-409C-BE32-E72D297353CC}">
              <c16:uniqueId val="{00000000-821C-46D4-B493-91D7177C3E5F}"/>
            </c:ext>
          </c:extLst>
        </c:ser>
        <c:ser>
          <c:idx val="1"/>
          <c:order val="1"/>
          <c:tx>
            <c:strRef>
              <c:f>'Combined Analysis'!$D$35</c:f>
              <c:strCache>
                <c:ptCount val="1"/>
                <c:pt idx="0">
                  <c:v>Doubles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Analysis'!$B$36:$B$38</c:f>
              <c:strCache>
                <c:ptCount val="2"/>
                <c:pt idx="0">
                  <c:v>Away</c:v>
                </c:pt>
                <c:pt idx="1">
                  <c:v>Home</c:v>
                </c:pt>
              </c:strCache>
            </c:strRef>
          </c:cat>
          <c:val>
            <c:numRef>
              <c:f>'Combined Analysis'!$D$36:$D$38</c:f>
              <c:numCache>
                <c:formatCode>General</c:formatCode>
                <c:ptCount val="2"/>
                <c:pt idx="0">
                  <c:v>159</c:v>
                </c:pt>
                <c:pt idx="1">
                  <c:v>178</c:v>
                </c:pt>
              </c:numCache>
            </c:numRef>
          </c:val>
          <c:extLst>
            <c:ext xmlns:c16="http://schemas.microsoft.com/office/drawing/2014/chart" uri="{C3380CC4-5D6E-409C-BE32-E72D297353CC}">
              <c16:uniqueId val="{00000003-821C-46D4-B493-91D7177C3E5F}"/>
            </c:ext>
          </c:extLst>
        </c:ser>
        <c:ser>
          <c:idx val="2"/>
          <c:order val="2"/>
          <c:tx>
            <c:strRef>
              <c:f>'Combined Analysis'!$E$35</c:f>
              <c:strCache>
                <c:ptCount val="1"/>
                <c:pt idx="0">
                  <c:v>Triples</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Analysis'!$B$36:$B$38</c:f>
              <c:strCache>
                <c:ptCount val="2"/>
                <c:pt idx="0">
                  <c:v>Away</c:v>
                </c:pt>
                <c:pt idx="1">
                  <c:v>Home</c:v>
                </c:pt>
              </c:strCache>
            </c:strRef>
          </c:cat>
          <c:val>
            <c:numRef>
              <c:f>'Combined Analysis'!$E$36:$E$38</c:f>
              <c:numCache>
                <c:formatCode>General</c:formatCode>
                <c:ptCount val="2"/>
                <c:pt idx="0">
                  <c:v>10</c:v>
                </c:pt>
                <c:pt idx="1">
                  <c:v>9</c:v>
                </c:pt>
              </c:numCache>
            </c:numRef>
          </c:val>
          <c:extLst>
            <c:ext xmlns:c16="http://schemas.microsoft.com/office/drawing/2014/chart" uri="{C3380CC4-5D6E-409C-BE32-E72D297353CC}">
              <c16:uniqueId val="{00000004-821C-46D4-B493-91D7177C3E5F}"/>
            </c:ext>
          </c:extLst>
        </c:ser>
        <c:ser>
          <c:idx val="3"/>
          <c:order val="3"/>
          <c:tx>
            <c:strRef>
              <c:f>'Combined Analysis'!$F$35</c:f>
              <c:strCache>
                <c:ptCount val="1"/>
                <c:pt idx="0">
                  <c:v>Home Runs</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'Combined Analysis'!$B$36:$B$38</c:f>
              <c:strCache>
                <c:ptCount val="2"/>
                <c:pt idx="0">
                  <c:v>Away</c:v>
                </c:pt>
                <c:pt idx="1">
                  <c:v>Home</c:v>
                </c:pt>
              </c:strCache>
            </c:strRef>
          </c:cat>
          <c:val>
            <c:numRef>
              <c:f>'Combined Analysis'!$F$36:$F$38</c:f>
              <c:numCache>
                <c:formatCode>General</c:formatCode>
                <c:ptCount val="2"/>
                <c:pt idx="0">
                  <c:v>87</c:v>
                </c:pt>
                <c:pt idx="1">
                  <c:v>100</c:v>
                </c:pt>
              </c:numCache>
            </c:numRef>
          </c:val>
          <c:extLst>
            <c:ext xmlns:c16="http://schemas.microsoft.com/office/drawing/2014/chart" uri="{C3380CC4-5D6E-409C-BE32-E72D297353CC}">
              <c16:uniqueId val="{00000005-821C-46D4-B493-91D7177C3E5F}"/>
            </c:ext>
          </c:extLst>
        </c:ser>
        <c:dLbls>
          <c:dLblPos val="inEnd"/>
          <c:showLegendKey val="0"/>
          <c:showVal val="1"/>
          <c:showCatName val="0"/>
          <c:showSerName val="0"/>
          <c:showPercent val="0"/>
          <c:showBubbleSize val="0"/>
        </c:dLbls>
        <c:gapWidth val="65"/>
        <c:axId val="215223488"/>
        <c:axId val="215224928"/>
      </c:barChart>
      <c:catAx>
        <c:axId val="2152234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5224928"/>
        <c:crosses val="autoZero"/>
        <c:auto val="1"/>
        <c:lblAlgn val="ctr"/>
        <c:lblOffset val="100"/>
        <c:noMultiLvlLbl val="0"/>
      </c:catAx>
      <c:valAx>
        <c:axId val="2152249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522348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[ManningK_Mod3b.xlsm]Combined Analysis!PivotTable6</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Stolen Bases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'Combined Analysis'!$C$2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67D-4E65-B3D5-98D98244F7D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67D-4E65-B3D5-98D98244F7D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'Combined Analysis'!$B$3:$B$4</c:f>
              <c:strCache>
                <c:ptCount val="2"/>
                <c:pt idx="0">
                  <c:v>Stolen Bases</c:v>
                </c:pt>
                <c:pt idx="1">
                  <c:v>Caught Stealing</c:v>
                </c:pt>
              </c:strCache>
            </c:strRef>
          </c:cat>
          <c:val>
            <c:numRef>
              <c:f>'Combined Analysis'!$C$3:$C$4</c:f>
              <c:numCache>
                <c:formatCode>General</c:formatCode>
                <c:ptCount val="2"/>
                <c:pt idx="0">
                  <c:v>112</c:v>
                </c:pt>
                <c:pt idx="1">
                  <c:v>45</c:v>
                </c:pt>
              </c:numCache>
            </c:numRef>
          </c:val>
          <c:extLst>
            <c:ext xmlns:c16="http://schemas.microsoft.com/office/drawing/2014/chart" uri="{C3380CC4-5D6E-409C-BE32-E72D297353CC}">
              <c16:uniqueId val="{00000000-7FB9-4833-ADF3-83E9C0E4B4FF}"/>
            </c:ext>
          </c:extLst>
        </c:ser>
        <c:dLbls>
          <c:dLblPos val="ctr"/>
          <c:showLegendKey val="0"/>
          <c:showVal val="1"/>
          <c:showCatName val="0"/>
          <c:showSerName val="0"/>
          <c:showPercent val="0"/>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[ManningK_Mod3b.xlsm]Comparative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Slash Stats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'Comparative Analysis'!$C$2:$C$5</c:f>
              <c:strCache>
                <c:ptCount val="1"/>
                <c:pt idx="0">
                  <c:v>2022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'Comparative Analysis'!$B$6:$B$9</c:f>
              <c:strCache>
                <c:ptCount val="4"/>
                <c:pt idx="0">
                  <c:v>AVG </c:v>
                </c:pt>
                <c:pt idx="1">
                  <c:v>OBP </c:v>
                </c:pt>
                <c:pt idx="2">
                  <c:v>SLG </c:v>
                </c:pt>
                <c:pt idx="3">
                  <c:v>OPS </c:v>
                </c:pt>
              </c:strCache>
            </c:strRef>
          </c:cat>
          <c:val>
            <c:numRef>
              <c:f>'Comparative Analysis'!$C$6:$C$9</c:f>
              <c:numCache>
                <c:formatCode>0.000</c:formatCode>
                <c:ptCount val="4"/>
                <c:pt idx="0">
                  <c:v>0.2404692082111437</c:v>
                </c:pt>
                <c:pt idx="1">
                  <c:v>0.31931668856767409</c:v>
                </c:pt>
                <c:pt idx="2">
                  <c:v>0.38416422287390029</c:v>
                </c:pt>
                <c:pt idx="3">
                  <c:v>0.70348091144157432</c:v>
                </c:pt>
              </c:numCache>
            </c:numRef>
          </c:val>
          <c:extLst>
            <c:ext xmlns:c16="http://schemas.microsoft.com/office/drawing/2014/chart" uri="{C3380CC4-5D6E-409C-BE32-E72D297353CC}">
              <c16:uniqueId val="{00000008-E44C-4F39-B174-815159DA1798}"/>
            </c:ext>
          </c:extLst>
        </c:ser>
        <c:ser>
          <c:idx val="1"/>
          <c:order val="1"/>
          <c:tx>
            <c:strRef>
              <c:f>'Comparative Analysis'!$D$2:$D$5</c:f>
              <c:strCache>
                <c:ptCount val="1"/>
                <c:pt idx="0">
                  <c:v>2023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'Comparative Analysis'!$B$6:$B$9</c:f>
              <c:strCache>
                <c:ptCount val="4"/>
                <c:pt idx="0">
                  <c:v>AVG </c:v>
                </c:pt>
                <c:pt idx="1">
                  <c:v>OBP </c:v>
                </c:pt>
                <c:pt idx="2">
                  <c:v>SLG </c:v>
                </c:pt>
                <c:pt idx="3">
                  <c:v>OPS </c:v>
                </c:pt>
              </c:strCache>
            </c:strRef>
          </c:cat>
          <c:val>
            <c:numRef>
              <c:f>'Comparative Analysis'!$D$6:$D$9</c:f>
              <c:numCache>
                <c:formatCode>0.000</c:formatCode>
                <c:ptCount val="4"/>
                <c:pt idx="0">
                  <c:v>0.2853185595567867</c:v>
                </c:pt>
                <c:pt idx="1">
                  <c:v>0.35980148883374691</c:v>
                </c:pt>
                <c:pt idx="2">
                  <c:v>0.53878116343490301</c:v>
                </c:pt>
                <c:pt idx="3">
                  <c:v>0.89858265226864997</c:v>
                </c:pt>
              </c:numCache>
            </c:numRef>
          </c:val>
          <c:extLst>
            <c:ext xmlns:c16="http://schemas.microsoft.com/office/drawing/2014/chart" uri="{C3380CC4-5D6E-409C-BE32-E72D297353CC}">
              <c16:uniqueId val="{00000009-E44C-4F39-B174-815159DA1798}"/>
            </c:ext>
          </c:extLst>
        </c:ser>
        <c:dLbls>
          <c:dLblPos val="outEnd"/>
          <c:showLegendKey val="0"/>
          <c:showVal val="1"/>
          <c:showCatName val="0"/>
          <c:showSerName val="0"/>
          <c:showPercent val="0"/>
          <c:showBubbleSize val="0"/>
        </c:dLbls>
        <c:gapWidth val="100"/>
        <c:overlap val="-24"/>
        <c:axId val="1663774815"/>
        <c:axId val="1663781535"/>
      </c:barChart>
      <c:catAx>
        <c:axId val="16637748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3781535"/>
        <c:crosses val="autoZero"/>
        <c:auto val="1"/>
        <c:lblAlgn val="ctr"/>
        <c:lblOffset val="100"/>
        <c:noMultiLvlLbl val="0"/>
      </c:catAx>
      <c:valAx>
        <c:axId val="1663781535"/>
        <c:scaling>
          <c:orientation val="minMax"/>
        </c:scaling>
        <c:delete val="0"/>
        <c:axPos val="l"/>
        <c:majorGridlines>
          <c:spPr>
            <a:ln w="9525" cap="flat" cmpd="sng" algn="ctr">
              <a:solidFill>
                <a:schemeClr val="lt1">
                  <a:lumMod val="95000"/>
                  <a:alpha val="10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3774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[ManningK_Mod3b.xlsm]Comparative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Multi-Home Run Games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'Comparative Analysis'!$C$19:$C$22</c:f>
              <c:strCache>
                <c:ptCount val="1"/>
                <c:pt idx="0">
                  <c:v>2022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'Comparative Analysis'!$B$23:$B$29</c:f>
              <c:strCache>
                <c:ptCount val="6"/>
                <c:pt idx="0">
                  <c:v>0</c:v>
                </c:pt>
                <c:pt idx="1">
                  <c:v>1</c:v>
                </c:pt>
                <c:pt idx="2">
                  <c:v>2</c:v>
                </c:pt>
                <c:pt idx="3">
                  <c:v>3</c:v>
                </c:pt>
                <c:pt idx="4">
                  <c:v>4</c:v>
                </c:pt>
                <c:pt idx="5">
                  <c:v>5</c:v>
                </c:pt>
              </c:strCache>
            </c:strRef>
          </c:cat>
          <c:val>
            <c:numRef>
              <c:f>'Comparative Analysis'!$C$23:$C$29</c:f>
              <c:numCache>
                <c:formatCode>General</c:formatCode>
                <c:ptCount val="6"/>
                <c:pt idx="0">
                  <c:v>71</c:v>
                </c:pt>
                <c:pt idx="1">
                  <c:v>57</c:v>
                </c:pt>
                <c:pt idx="2">
                  <c:v>21</c:v>
                </c:pt>
                <c:pt idx="3">
                  <c:v>12</c:v>
                </c:pt>
                <c:pt idx="4">
                  <c:v>1</c:v>
                </c:pt>
              </c:numCache>
            </c:numRef>
          </c:val>
          <c:extLst>
            <c:ext xmlns:c16="http://schemas.microsoft.com/office/drawing/2014/chart" uri="{C3380CC4-5D6E-409C-BE32-E72D297353CC}">
              <c16:uniqueId val="{00000000-E59C-4E41-9F59-9583588ACE87}"/>
            </c:ext>
          </c:extLst>
        </c:ser>
        <c:ser>
          <c:idx val="1"/>
          <c:order val="1"/>
          <c:tx>
            <c:strRef>
              <c:f>'Comparative Analysis'!$D$19:$D$22</c:f>
              <c:strCache>
                <c:ptCount val="1"/>
                <c:pt idx="0">
                  <c:v>2023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'Comparative Analysis'!$B$23:$B$29</c:f>
              <c:strCache>
                <c:ptCount val="6"/>
                <c:pt idx="0">
                  <c:v>0</c:v>
                </c:pt>
                <c:pt idx="1">
                  <c:v>1</c:v>
                </c:pt>
                <c:pt idx="2">
                  <c:v>2</c:v>
                </c:pt>
                <c:pt idx="3">
                  <c:v>3</c:v>
                </c:pt>
                <c:pt idx="4">
                  <c:v>4</c:v>
                </c:pt>
                <c:pt idx="5">
                  <c:v>5</c:v>
                </c:pt>
              </c:strCache>
            </c:strRef>
          </c:cat>
          <c:val>
            <c:numRef>
              <c:f>'Comparative Analysis'!$D$23:$D$29</c:f>
              <c:numCache>
                <c:formatCode>General</c:formatCode>
                <c:ptCount val="6"/>
                <c:pt idx="1">
                  <c:v>9</c:v>
                </c:pt>
                <c:pt idx="2">
                  <c:v>5</c:v>
                </c:pt>
                <c:pt idx="3">
                  <c:v>4</c:v>
                </c:pt>
                <c:pt idx="4">
                  <c:v>3</c:v>
                </c:pt>
                <c:pt idx="5">
                  <c:v>1</c:v>
                </c:pt>
              </c:numCache>
            </c:numRef>
          </c:val>
          <c:extLst>
            <c:ext xmlns:c16="http://schemas.microsoft.com/office/drawing/2014/chart" uri="{C3380CC4-5D6E-409C-BE32-E72D297353CC}">
              <c16:uniqueId val="{00000001-E59C-4E41-9F59-9583588ACE87}"/>
            </c:ext>
          </c:extLst>
        </c:ser>
        <c:dLbls>
          <c:dLblPos val="outEnd"/>
          <c:showLegendKey val="0"/>
          <c:showVal val="1"/>
          <c:showCatName val="0"/>
          <c:showSerName val="0"/>
          <c:showPercent val="0"/>
          <c:showBubbleSize val="0"/>
        </c:dLbls>
        <c:gapWidth val="100"/>
        <c:overlap val="-24"/>
        <c:axId val="1763909967"/>
        <c:axId val="1763910447"/>
      </c:barChart>
      <c:catAx>
        <c:axId val="17639099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3910447"/>
        <c:crosses val="autoZero"/>
        <c:auto val="1"/>
        <c:lblAlgn val="ctr"/>
        <c:lblOffset val="100"/>
        <c:noMultiLvlLbl val="0"/>
      </c:catAx>
      <c:valAx>
        <c:axId val="17639104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6390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fmlaLink="'Input Back End'!$G$12" fmlaRange="'Input Back End'!$F$3:$F$4" noThreeD="1" sel="1"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Input Back End'!$K$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Drop" dropStyle="combo" dx="22" fmlaLink="'Input Back End'!$L$4" fmlaRange="'Input Back End'!$C$3:$C$31" noThreeD="1" sel="6" val="8"/>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9525</xdr:rowOff>
    </xdr:from>
    <xdr:to>
      <xdr:col>1</xdr:col>
      <xdr:colOff>9525</xdr:colOff>
      <xdr:row>23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390525"/>
          <a:ext cx="3848100" cy="399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Project</a:t>
          </a:r>
          <a:r>
            <a:rPr lang="en-US" sz="1100" b="1" baseline="0"/>
            <a:t> Overview</a:t>
          </a:r>
        </a:p>
        <a:p>
          <a:pPr algn="l"/>
          <a:r>
            <a:rPr lang="en-US" sz="1100"/>
            <a:t>The</a:t>
          </a:r>
          <a:r>
            <a:rPr lang="en-US" sz="1100" baseline="0"/>
            <a:t> purpose of this project is to experiment with database management in a basic sense, through the lens of game logs from 2022 to present from the Tampa Bay Rays.</a:t>
          </a:r>
        </a:p>
        <a:p>
          <a:pPr algn="l"/>
          <a:endParaRPr lang="en-US" sz="1100" baseline="0"/>
        </a:p>
        <a:p>
          <a:pPr algn="l"/>
          <a:r>
            <a:rPr lang="en-US" sz="1100" baseline="0"/>
            <a:t>My motivation for this topic choice comes from my future aspirations in MLB statistical analysis and potential front office work, so generating ideas on how data can be manipulated in Excel is a must. </a:t>
          </a:r>
        </a:p>
        <a:p>
          <a:pPr algn="l"/>
          <a:endParaRPr lang="en-US" sz="1100" baseline="0"/>
        </a:p>
        <a:p>
          <a:pPr algn="l"/>
          <a:r>
            <a:rPr lang="en-US" sz="1100" baseline="0"/>
            <a:t>The scope of this project covers data entry, manipulation, pivot tables and charts, as well as some analysis which stems from the results of the latter element. </a:t>
          </a:r>
        </a:p>
        <a:p>
          <a:pPr algn="l"/>
          <a:endParaRPr lang="en-US" sz="1100" baseline="0"/>
        </a:p>
        <a:p>
          <a:pPr algn="l"/>
          <a:r>
            <a:rPr lang="en-US" sz="1100" baseline="0"/>
            <a:t>The skills included in this project can be found in the word document with a similiarly structured name.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828675</xdr:colOff>
          <xdr:row>27</xdr:row>
          <xdr:rowOff>0</xdr:rowOff>
        </xdr:from>
        <xdr:to>
          <xdr:col>12</xdr:col>
          <xdr:colOff>885825</xdr:colOff>
          <xdr:row>29</xdr:row>
          <xdr:rowOff>9525</xdr:rowOff>
        </xdr:to>
        <xdr:sp macro="" textlink="">
          <xdr:nvSpPr>
            <xdr:cNvPr id="6149" name="Drop Dow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609600</xdr:colOff>
          <xdr:row>8</xdr:row>
          <xdr:rowOff>0</xdr:rowOff>
        </xdr:from>
        <xdr:to>
          <xdr:col>15</xdr:col>
          <xdr:colOff>676275</xdr:colOff>
          <xdr:row>9</xdr:row>
          <xdr:rowOff>219075</xdr:rowOff>
        </xdr:to>
        <xdr:sp macro="" textlink="">
          <xdr:nvSpPr>
            <xdr:cNvPr id="6157" name="Group Box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428625</xdr:colOff>
          <xdr:row>8</xdr:row>
          <xdr:rowOff>9525</xdr:rowOff>
        </xdr:from>
        <xdr:to>
          <xdr:col>15</xdr:col>
          <xdr:colOff>647700</xdr:colOff>
          <xdr:row>9</xdr:row>
          <xdr:rowOff>19050</xdr:rowOff>
        </xdr:to>
        <xdr:sp macro="" textlink="">
          <xdr:nvSpPr>
            <xdr:cNvPr id="6158" name="Option Button 1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428625</xdr:colOff>
          <xdr:row>9</xdr:row>
          <xdr:rowOff>47625</xdr:rowOff>
        </xdr:from>
        <xdr:to>
          <xdr:col>15</xdr:col>
          <xdr:colOff>581025</xdr:colOff>
          <xdr:row>9</xdr:row>
          <xdr:rowOff>219075</xdr:rowOff>
        </xdr:to>
        <xdr:sp macro="" textlink="">
          <xdr:nvSpPr>
            <xdr:cNvPr id="6160" name="Option Button 16"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6</xdr:row>
          <xdr:rowOff>0</xdr:rowOff>
        </xdr:from>
        <xdr:to>
          <xdr:col>15</xdr:col>
          <xdr:colOff>676275</xdr:colOff>
          <xdr:row>7</xdr:row>
          <xdr:rowOff>9525</xdr:rowOff>
        </xdr:to>
        <xdr:sp macro="" textlink="">
          <xdr:nvSpPr>
            <xdr:cNvPr id="6163" name="Drop Down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47625</xdr:colOff>
      <xdr:row>31</xdr:row>
      <xdr:rowOff>123825</xdr:rowOff>
    </xdr:from>
    <xdr:to>
      <xdr:col>15</xdr:col>
      <xdr:colOff>352425</xdr:colOff>
      <xdr:row>33</xdr:row>
      <xdr:rowOff>152400</xdr:rowOff>
    </xdr:to>
    <xdr:sp macro="[0]!GameLogEntry"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858125" y="6105525"/>
          <a:ext cx="2647950" cy="4191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b="1">
              <a:solidFill>
                <a:schemeClr val="bg1"/>
              </a:solidFill>
            </a:rPr>
            <a:t>Report Game</a:t>
          </a:r>
        </a:p>
      </xdr:txBody>
    </xdr:sp>
    <xdr:clientData/>
  </xdr:twoCellAnchor>
  <xdr:twoCellAnchor>
    <xdr:from>
      <xdr:col>17</xdr:col>
      <xdr:colOff>228600</xdr:colOff>
      <xdr:row>4</xdr:row>
      <xdr:rowOff>28575</xdr:rowOff>
    </xdr:from>
    <xdr:to>
      <xdr:col>19</xdr:col>
      <xdr:colOff>266700</xdr:colOff>
      <xdr:row>5</xdr:row>
      <xdr:rowOff>171450</xdr:rowOff>
    </xdr:to>
    <xdr:sp macro="[0]!ClearEntry"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1677650" y="800100"/>
          <a:ext cx="1257300" cy="3524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b="1">
              <a:solidFill>
                <a:schemeClr val="bg1"/>
              </a:solidFill>
            </a:rPr>
            <a:t>Clear</a:t>
          </a:r>
          <a:r>
            <a:rPr lang="en-US" sz="1400" b="1" baseline="0">
              <a:solidFill>
                <a:schemeClr val="bg1"/>
              </a:solidFill>
            </a:rPr>
            <a:t> Form</a:t>
          </a:r>
          <a:endParaRPr lang="en-US" sz="14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0</xdr:colOff>
      <xdr:row>4</xdr:row>
      <xdr:rowOff>186690</xdr:rowOff>
    </xdr:from>
    <xdr:to>
      <xdr:col>19</xdr:col>
      <xdr:colOff>603504</xdr:colOff>
      <xdr:row>6</xdr:row>
      <xdr:rowOff>171450</xdr:rowOff>
    </xdr:to>
    <xdr:sp macro="[0]!Season2023"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2211050" y="1024890"/>
          <a:ext cx="603504" cy="36576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2023</a:t>
          </a:r>
        </a:p>
      </xdr:txBody>
    </xdr:sp>
    <xdr:clientData/>
  </xdr:twoCellAnchor>
  <xdr:twoCellAnchor editAs="absolute">
    <xdr:from>
      <xdr:col>21</xdr:col>
      <xdr:colOff>0</xdr:colOff>
      <xdr:row>5</xdr:row>
      <xdr:rowOff>0</xdr:rowOff>
    </xdr:from>
    <xdr:to>
      <xdr:col>21</xdr:col>
      <xdr:colOff>603504</xdr:colOff>
      <xdr:row>6</xdr:row>
      <xdr:rowOff>175260</xdr:rowOff>
    </xdr:to>
    <xdr:sp macro="[0]!Season2022"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3430250" y="1028700"/>
          <a:ext cx="603504" cy="36576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2022</a:t>
          </a:r>
        </a:p>
      </xdr:txBody>
    </xdr:sp>
    <xdr:clientData/>
  </xdr:twoCellAnchor>
  <xdr:twoCellAnchor editAs="absolute">
    <xdr:from>
      <xdr:col>20</xdr:col>
      <xdr:colOff>9525</xdr:colOff>
      <xdr:row>2</xdr:row>
      <xdr:rowOff>0</xdr:rowOff>
    </xdr:from>
    <xdr:to>
      <xdr:col>22</xdr:col>
      <xdr:colOff>600075</xdr:colOff>
      <xdr:row>3</xdr:row>
      <xdr:rowOff>152400</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12830175" y="457200"/>
          <a:ext cx="1809750" cy="3429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b="1">
              <a:solidFill>
                <a:schemeClr val="bg1"/>
              </a:solidFill>
            </a:rPr>
            <a:t>Season</a:t>
          </a:r>
        </a:p>
      </xdr:txBody>
    </xdr:sp>
    <xdr:clientData/>
  </xdr:twoCellAnchor>
  <xdr:twoCellAnchor editAs="absolute">
    <xdr:from>
      <xdr:col>23</xdr:col>
      <xdr:colOff>0</xdr:colOff>
      <xdr:row>4</xdr:row>
      <xdr:rowOff>186690</xdr:rowOff>
    </xdr:from>
    <xdr:to>
      <xdr:col>23</xdr:col>
      <xdr:colOff>603504</xdr:colOff>
      <xdr:row>6</xdr:row>
      <xdr:rowOff>171450</xdr:rowOff>
    </xdr:to>
    <xdr:sp macro="[0]!SeasonAll"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4649450" y="1024890"/>
          <a:ext cx="603504" cy="36576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All</a:t>
          </a:r>
        </a:p>
      </xdr:txBody>
    </xdr:sp>
    <xdr:clientData/>
  </xdr:twoCellAnchor>
  <xdr:twoCellAnchor editAs="absolute">
    <xdr:from>
      <xdr:col>20</xdr:col>
      <xdr:colOff>9525</xdr:colOff>
      <xdr:row>7</xdr:row>
      <xdr:rowOff>180975</xdr:rowOff>
    </xdr:from>
    <xdr:to>
      <xdr:col>22</xdr:col>
      <xdr:colOff>571500</xdr:colOff>
      <xdr:row>9</xdr:row>
      <xdr:rowOff>161925</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12830175" y="1590675"/>
          <a:ext cx="1781175" cy="36195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400" b="1">
              <a:solidFill>
                <a:schemeClr val="bg1"/>
              </a:solidFill>
            </a:rPr>
            <a:t>Splits</a:t>
          </a:r>
        </a:p>
      </xdr:txBody>
    </xdr:sp>
    <xdr:clientData/>
  </xdr:twoCellAnchor>
  <xdr:twoCellAnchor editAs="absolute">
    <xdr:from>
      <xdr:col>19</xdr:col>
      <xdr:colOff>0</xdr:colOff>
      <xdr:row>10</xdr:row>
      <xdr:rowOff>186690</xdr:rowOff>
    </xdr:from>
    <xdr:to>
      <xdr:col>19</xdr:col>
      <xdr:colOff>603504</xdr:colOff>
      <xdr:row>12</xdr:row>
      <xdr:rowOff>171450</xdr:rowOff>
    </xdr:to>
    <xdr:sp macro="[0]!SplitsHome" textlink="">
      <xdr:nvSpPr>
        <xdr:cNvPr id="7" name="Rectangle: Rounded Corners 6">
          <a:extLst>
            <a:ext uri="{FF2B5EF4-FFF2-40B4-BE49-F238E27FC236}">
              <a16:creationId xmlns:a16="http://schemas.microsoft.com/office/drawing/2014/main" id="{00000000-0008-0000-0300-000007000000}"/>
            </a:ext>
          </a:extLst>
        </xdr:cNvPr>
        <xdr:cNvSpPr/>
      </xdr:nvSpPr>
      <xdr:spPr>
        <a:xfrm>
          <a:off x="12211050" y="2167890"/>
          <a:ext cx="603504" cy="36576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editAs="absolute">
    <xdr:from>
      <xdr:col>21</xdr:col>
      <xdr:colOff>0</xdr:colOff>
      <xdr:row>10</xdr:row>
      <xdr:rowOff>186690</xdr:rowOff>
    </xdr:from>
    <xdr:to>
      <xdr:col>21</xdr:col>
      <xdr:colOff>603504</xdr:colOff>
      <xdr:row>12</xdr:row>
      <xdr:rowOff>171450</xdr:rowOff>
    </xdr:to>
    <xdr:sp macro="[0]!SplitsAway"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3430250" y="2167890"/>
          <a:ext cx="603504" cy="36576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200" b="1">
              <a:solidFill>
                <a:schemeClr val="bg1"/>
              </a:solidFill>
            </a:rPr>
            <a:t>Away</a:t>
          </a:r>
        </a:p>
      </xdr:txBody>
    </xdr:sp>
    <xdr:clientData/>
  </xdr:twoCellAnchor>
  <xdr:twoCellAnchor editAs="absolute">
    <xdr:from>
      <xdr:col>23</xdr:col>
      <xdr:colOff>0</xdr:colOff>
      <xdr:row>10</xdr:row>
      <xdr:rowOff>186690</xdr:rowOff>
    </xdr:from>
    <xdr:to>
      <xdr:col>23</xdr:col>
      <xdr:colOff>603504</xdr:colOff>
      <xdr:row>12</xdr:row>
      <xdr:rowOff>171450</xdr:rowOff>
    </xdr:to>
    <xdr:sp macro="[0]!SplitsAll" textlink="">
      <xdr:nvSpPr>
        <xdr:cNvPr id="9" name="Rectangle: Rounded Corners 8">
          <a:extLst>
            <a:ext uri="{FF2B5EF4-FFF2-40B4-BE49-F238E27FC236}">
              <a16:creationId xmlns:a16="http://schemas.microsoft.com/office/drawing/2014/main" id="{00000000-0008-0000-0300-000009000000}"/>
            </a:ext>
          </a:extLst>
        </xdr:cNvPr>
        <xdr:cNvSpPr/>
      </xdr:nvSpPr>
      <xdr:spPr>
        <a:xfrm>
          <a:off x="14649450" y="2167890"/>
          <a:ext cx="603504" cy="36576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200" b="1">
              <a:solidFill>
                <a:schemeClr val="bg1"/>
              </a:solidFill>
            </a:rPr>
            <a:t>All</a:t>
          </a:r>
        </a:p>
        <a:p>
          <a:pPr algn="ctr"/>
          <a:endParaRPr lang="en-US" sz="12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228601</xdr:colOff>
      <xdr:row>14</xdr:row>
      <xdr:rowOff>9525</xdr:rowOff>
    </xdr:from>
    <xdr:to>
      <xdr:col>14</xdr:col>
      <xdr:colOff>95251</xdr:colOff>
      <xdr:row>27</xdr:row>
      <xdr:rowOff>171449</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39</xdr:row>
      <xdr:rowOff>9525</xdr:rowOff>
    </xdr:from>
    <xdr:to>
      <xdr:col>2</xdr:col>
      <xdr:colOff>600075</xdr:colOff>
      <xdr:row>46</xdr:row>
      <xdr:rowOff>47625</xdr:rowOff>
    </xdr:to>
    <mc:AlternateContent xmlns:mc="http://schemas.openxmlformats.org/markup-compatibility/2006" xmlns:tsle="http://schemas.microsoft.com/office/drawing/2012/timeslicer">
      <mc:Choice Requires="tsle">
        <xdr:graphicFrame macro="">
          <xdr:nvGraphicFramePr>
            <xdr:cNvPr id="7" name="Date 1">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09600" y="7648575"/>
              <a:ext cx="159067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6</xdr:col>
      <xdr:colOff>38101</xdr:colOff>
      <xdr:row>33</xdr:row>
      <xdr:rowOff>190499</xdr:rowOff>
    </xdr:from>
    <xdr:to>
      <xdr:col>15</xdr:col>
      <xdr:colOff>219076</xdr:colOff>
      <xdr:row>48</xdr:row>
      <xdr:rowOff>4761</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171450</xdr:colOff>
      <xdr:row>0</xdr:row>
      <xdr:rowOff>23812</xdr:rowOff>
    </xdr:from>
    <xdr:to>
      <xdr:col>10</xdr:col>
      <xdr:colOff>9525</xdr:colOff>
      <xdr:row>12</xdr:row>
      <xdr:rowOff>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9525</xdr:colOff>
      <xdr:row>4</xdr:row>
      <xdr:rowOff>180975</xdr:rowOff>
    </xdr:from>
    <xdr:to>
      <xdr:col>2</xdr:col>
      <xdr:colOff>609600</xdr:colOff>
      <xdr:row>12</xdr:row>
      <xdr:rowOff>0</xdr:rowOff>
    </xdr:to>
    <mc:AlternateContent xmlns:mc="http://schemas.openxmlformats.org/markup-compatibility/2006" xmlns:tsle="http://schemas.microsoft.com/office/drawing/2012/timeslicer">
      <mc:Choice Requires="tsle">
        <xdr:graphicFrame macro="">
          <xdr:nvGraphicFramePr>
            <xdr:cNvPr id="11" name="Date 2">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619125" y="990600"/>
              <a:ext cx="1590675" cy="13525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123825</xdr:colOff>
      <xdr:row>20</xdr:row>
      <xdr:rowOff>142875</xdr:rowOff>
    </xdr:from>
    <xdr:to>
      <xdr:col>6</xdr:col>
      <xdr:colOff>66675</xdr:colOff>
      <xdr:row>27</xdr:row>
      <xdr:rowOff>171450</xdr:rowOff>
    </xdr:to>
    <mc:AlternateContent xmlns:mc="http://schemas.openxmlformats.org/markup-compatibility/2006" xmlns:tsle="http://schemas.microsoft.com/office/drawing/2012/timeslicer">
      <mc:Choice Requires="tsle">
        <xdr:graphicFrame macro="">
          <xdr:nvGraphicFramePr>
            <xdr:cNvPr id="16" name="Date">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409825" y="4076700"/>
              <a:ext cx="16954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12</xdr:col>
      <xdr:colOff>9525</xdr:colOff>
      <xdr:row>0</xdr:row>
      <xdr:rowOff>66675</xdr:rowOff>
    </xdr:from>
    <xdr:to>
      <xdr:col>15</xdr:col>
      <xdr:colOff>0</xdr:colOff>
      <xdr:row>2</xdr:row>
      <xdr:rowOff>142875</xdr:rowOff>
    </xdr:to>
    <xdr:sp macro="[0]!PivotRefresh" textlink="">
      <xdr:nvSpPr>
        <xdr:cNvPr id="17" name="Rectangle: Rounded Corners 16">
          <a:extLst>
            <a:ext uri="{FF2B5EF4-FFF2-40B4-BE49-F238E27FC236}">
              <a16:creationId xmlns:a16="http://schemas.microsoft.com/office/drawing/2014/main" id="{00000000-0008-0000-0400-000011000000}"/>
            </a:ext>
          </a:extLst>
        </xdr:cNvPr>
        <xdr:cNvSpPr/>
      </xdr:nvSpPr>
      <xdr:spPr>
        <a:xfrm>
          <a:off x="7505700" y="66675"/>
          <a:ext cx="1857375" cy="4857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600" b="1"/>
            <a:t>Refresh</a:t>
          </a:r>
          <a:r>
            <a:rPr lang="en-US" sz="1600" b="1" baseline="0"/>
            <a:t> Data</a:t>
          </a:r>
          <a:endParaRPr lang="en-US" sz="1600" b="1"/>
        </a:p>
      </xdr:txBody>
    </xdr:sp>
    <xdr:clientData/>
  </xdr:twoCellAnchor>
  <xdr:twoCellAnchor>
    <xdr:from>
      <xdr:col>10</xdr:col>
      <xdr:colOff>28575</xdr:colOff>
      <xdr:row>5</xdr:row>
      <xdr:rowOff>95250</xdr:rowOff>
    </xdr:from>
    <xdr:to>
      <xdr:col>13</xdr:col>
      <xdr:colOff>809625</xdr:colOff>
      <xdr:row>12</xdr:row>
      <xdr:rowOff>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6477000" y="1104900"/>
          <a:ext cx="2124075"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Consistent stolen base</a:t>
          </a:r>
          <a:r>
            <a:rPr lang="en-US" sz="1100" baseline="0"/>
            <a:t> success rate ~70% between the two years</a:t>
          </a:r>
          <a:endParaRPr lang="en-US" sz="1100"/>
        </a:p>
      </xdr:txBody>
    </xdr:sp>
    <xdr:clientData/>
  </xdr:twoCellAnchor>
  <xdr:twoCellAnchor>
    <xdr:from>
      <xdr:col>14</xdr:col>
      <xdr:colOff>123825</xdr:colOff>
      <xdr:row>21</xdr:row>
      <xdr:rowOff>133350</xdr:rowOff>
    </xdr:from>
    <xdr:to>
      <xdr:col>17</xdr:col>
      <xdr:colOff>504825</xdr:colOff>
      <xdr:row>27</xdr:row>
      <xdr:rowOff>161925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8791575" y="4267200"/>
          <a:ext cx="1885950" cy="1171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Home batting</a:t>
          </a:r>
          <a:r>
            <a:rPr lang="en-US" sz="1100" baseline="0"/>
            <a:t> is more successful than road batting</a:t>
          </a:r>
        </a:p>
        <a:p>
          <a:r>
            <a:rPr lang="en-US" sz="1100" baseline="0"/>
            <a:t>-81 at one park vs 81 spread across multiple parks</a:t>
          </a:r>
        </a:p>
      </xdr:txBody>
    </xdr:sp>
    <xdr:clientData/>
  </xdr:twoCellAnchor>
  <xdr:twoCellAnchor>
    <xdr:from>
      <xdr:col>15</xdr:col>
      <xdr:colOff>238125</xdr:colOff>
      <xdr:row>41</xdr:row>
      <xdr:rowOff>95250</xdr:rowOff>
    </xdr:from>
    <xdr:to>
      <xdr:col>18</xdr:col>
      <xdr:colOff>466725</xdr:colOff>
      <xdr:row>48</xdr:row>
      <xdr:rowOff>0</xdr:rowOff>
    </xdr:to>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9391650" y="8115300"/>
          <a:ext cx="19812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More</a:t>
          </a:r>
          <a:r>
            <a:rPr lang="en-US" sz="1100" baseline="0"/>
            <a:t> XBH at home</a:t>
          </a:r>
        </a:p>
        <a:p>
          <a:r>
            <a:rPr lang="en-US" sz="1100" baseline="0"/>
            <a:t>More Singles Away</a:t>
          </a:r>
        </a:p>
        <a:p>
          <a:r>
            <a:rPr lang="en-US" sz="1100" baseline="0"/>
            <a:t>Connect to Slugging</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38100</xdr:colOff>
      <xdr:row>1</xdr:row>
      <xdr:rowOff>4762</xdr:rowOff>
    </xdr:from>
    <xdr:to>
      <xdr:col>8</xdr:col>
      <xdr:colOff>666750</xdr:colOff>
      <xdr:row>15</xdr:row>
      <xdr:rowOff>80962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47625</xdr:colOff>
      <xdr:row>18</xdr:row>
      <xdr:rowOff>4762</xdr:rowOff>
    </xdr:from>
    <xdr:to>
      <xdr:col>9</xdr:col>
      <xdr:colOff>561975</xdr:colOff>
      <xdr:row>32</xdr:row>
      <xdr:rowOff>80962</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704849</xdr:colOff>
      <xdr:row>1</xdr:row>
      <xdr:rowOff>19049</xdr:rowOff>
    </xdr:from>
    <xdr:to>
      <xdr:col>10</xdr:col>
      <xdr:colOff>371474</xdr:colOff>
      <xdr:row>14</xdr:row>
      <xdr:rowOff>180975</xdr:rowOff>
    </xdr:to>
    <mc:AlternateContent xmlns:mc="http://schemas.openxmlformats.org/markup-compatibility/2006" xmlns:a14="http://schemas.microsoft.com/office/drawing/2010/main">
      <mc:Choice Requires="a14">
        <xdr:graphicFrame macro="">
          <xdr:nvGraphicFramePr>
            <xdr:cNvPr id="4" name="Date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7000874" y="219074"/>
              <a:ext cx="1838325" cy="2743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371475</xdr:colOff>
      <xdr:row>8</xdr:row>
      <xdr:rowOff>114300</xdr:rowOff>
    </xdr:from>
    <xdr:to>
      <xdr:col>13</xdr:col>
      <xdr:colOff>47625</xdr:colOff>
      <xdr:row>14</xdr:row>
      <xdr:rowOff>171450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8839200" y="1733550"/>
          <a:ext cx="1971675"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Only April</a:t>
          </a:r>
          <a:r>
            <a:rPr lang="en-US" sz="1100" baseline="0"/>
            <a:t> for both seasons</a:t>
          </a:r>
        </a:p>
        <a:p>
          <a:r>
            <a:rPr lang="en-US" sz="1100" baseline="0"/>
            <a:t>Offense is much improved from last season</a:t>
          </a:r>
          <a:endParaRPr lang="en-US" sz="1100"/>
        </a:p>
      </xdr:txBody>
    </xdr:sp>
    <xdr:clientData/>
  </xdr:twoCellAnchor>
  <xdr:twoCellAnchor>
    <xdr:from>
      <xdr:col>9</xdr:col>
      <xdr:colOff>571500</xdr:colOff>
      <xdr:row>26</xdr:row>
      <xdr:rowOff>76200</xdr:rowOff>
    </xdr:from>
    <xdr:to>
      <xdr:col>11</xdr:col>
      <xdr:colOff>1076325</xdr:colOff>
      <xdr:row>32</xdr:row>
      <xdr:rowOff>66675</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953375" y="5162550"/>
          <a:ext cx="2343150"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Power Hour</a:t>
          </a:r>
        </a:p>
        <a:p>
          <a:r>
            <a:rPr lang="en-US" sz="1100"/>
            <a:t>21</a:t>
          </a:r>
          <a:r>
            <a:rPr lang="en-US" sz="1100" baseline="0"/>
            <a:t> games straight with at least one home run</a:t>
          </a:r>
        </a:p>
        <a:p>
          <a:r>
            <a:rPr lang="en-US" sz="1100" baseline="0"/>
            <a:t>Already have more 4, 5 home run games than last season</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by Manning" refreshedDate="45039.875986689818" createdVersion="8" refreshedVersion="8" minRefreshableVersion="3" recordCount="184" xr:uid="{B0A80C18-9FA2-4EE9-9169-753142AE3B5F}">
  <cacheSource type="worksheet">
    <worksheetSource name="RaysData"/>
  </cacheSource>
  <cacheFields count="25">
    <cacheField name="Date" numFmtId="14">
      <sharedItems containsSemiMixedTypes="0" containsNonDate="0" containsDate="1" containsString="0" minDate="2022-04-08T00:00:00" maxDate="2023-04-24T00:00:00" count="182">
        <d v="2023-04-23T00:00:00"/>
        <d v="2023-04-22T00:00:00"/>
        <d v="2023-04-21T00:00:00"/>
        <d v="2023-04-19T00:00:00"/>
        <d v="2023-04-18T00:00:00"/>
        <d v="2023-04-17T00:00:00"/>
        <d v="2023-04-16T00:00:00"/>
        <d v="2023-04-15T00:00:00"/>
        <d v="2023-04-14T00:00:00"/>
        <d v="2023-04-13T00:00:00"/>
        <d v="2023-04-12T00:00:00"/>
        <d v="2023-04-11T00:00:00"/>
        <d v="2023-04-10T00:00:00"/>
        <d v="2023-04-09T00:00:00"/>
        <d v="2023-04-08T00:00:00"/>
        <d v="2023-04-07T00:00:00"/>
        <d v="2023-04-05T00:00:00"/>
        <d v="2023-04-04T00:00:00"/>
        <d v="2023-04-03T00:00:00"/>
        <d v="2023-04-02T00:00:00"/>
        <d v="2023-04-01T00:00:00"/>
        <d v="2023-03-30T00:00:00"/>
        <d v="2022-10-05T00:00:00"/>
        <d v="2022-10-04T00:00:00"/>
        <d v="2022-10-03T00:00:00"/>
        <d v="2022-10-02T00:00:00"/>
        <d v="2022-10-01T00:00:00"/>
        <d v="2022-09-30T00:00:00"/>
        <d v="2022-09-29T00:00:00"/>
        <d v="2022-09-28T00:00:00"/>
        <d v="2022-09-27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7T00:00:00"/>
        <d v="2022-09-06T00:00:00"/>
        <d v="2022-09-05T00:00:00"/>
        <d v="2022-09-04T00:00:00"/>
        <d v="2022-09-03T00:00:00"/>
        <d v="2022-09-02T00:00:00"/>
        <d v="2022-08-31T00:00:00"/>
        <d v="2022-08-30T00:00:00"/>
        <d v="2022-08-28T00:00:00"/>
        <d v="2022-08-27T00:00:00"/>
        <d v="2022-08-26T00:00:00"/>
        <d v="2022-08-25T00:00:00"/>
        <d v="2022-08-24T00:00:00"/>
        <d v="2022-08-23T00:00:00"/>
        <d v="2022-08-22T00:00:00"/>
        <d v="2022-08-21T00:00:00"/>
        <d v="2022-08-20T00:00:00"/>
        <d v="2022-08-19T00:00:00"/>
        <d v="2022-08-18T00:00:00"/>
        <d v="2022-08-17T00:00:00"/>
        <d v="2022-08-16T00:00:00"/>
        <d v="2022-08-15T00:00:00"/>
        <d v="2022-08-14T00:00:00"/>
        <d v="2022-08-13T00:00:00"/>
        <d v="2022-08-12T00:00:00"/>
        <d v="2022-08-10T00:00:00"/>
        <d v="2022-08-09T00:00:00"/>
        <d v="2022-08-07T00:00:00"/>
        <d v="2022-08-06T00:00:00"/>
        <d v="2022-08-05T00:00:00"/>
        <d v="2022-08-04T00:00:00"/>
        <d v="2022-08-03T00:00:00"/>
        <d v="2022-08-02T00:00:00"/>
        <d v="2022-07-31T00:00:00"/>
        <d v="2022-07-30T00:00:00"/>
        <d v="2022-07-29T00:00:00"/>
        <d v="2022-07-28T00:00:00"/>
        <d v="2022-07-27T00:00:00"/>
        <d v="2022-07-26T00:00:00"/>
        <d v="2022-07-25T00:00:00"/>
        <d v="2022-07-24T00:00:00"/>
        <d v="2022-07-23T00:00:00"/>
        <d v="2022-07-22T00:00:00"/>
        <d v="2022-07-17T00:00:00"/>
        <d v="2022-07-16T00:00:00"/>
        <d v="2022-07-15T00:00:00"/>
        <d v="2022-07-14T00:00:00"/>
        <d v="2022-07-13T00:00:00"/>
        <d v="2022-07-12T00:00:00"/>
        <d v="2022-07-11T00:00:00"/>
        <d v="2022-07-10T00:00:00"/>
        <d v="2022-07-09T00:00:00"/>
        <d v="2022-07-08T00:00:00"/>
        <d v="2022-07-06T00:00:00"/>
        <d v="2022-07-05T00:00:00"/>
        <d v="2022-07-04T00:00:00"/>
        <d v="2022-07-03T00:00:00"/>
        <d v="2022-07-02T00:00:00"/>
        <d v="2022-07-01T00:00:00"/>
        <d v="2022-06-30T00:00:00"/>
        <d v="2022-06-29T00:00:00"/>
        <d v="2022-06-28T00:00:00"/>
        <d v="2022-06-26T00:00:00"/>
        <d v="2022-06-25T00:00:00"/>
        <d v="2022-06-24T00:00:00"/>
        <d v="2022-06-22T00:00:00"/>
        <d v="2022-06-21T00:00:00"/>
        <d v="2022-06-20T00:00:00"/>
        <d v="2022-06-19T00:00:00"/>
        <d v="2022-06-18T00:00:00"/>
        <d v="2022-06-17T00:00:00"/>
        <d v="2022-06-16T00:00:00"/>
        <d v="2022-06-15T00:00:00"/>
        <d v="2022-06-14T00:00:00"/>
        <d v="2022-06-12T00:00:00"/>
        <d v="2022-06-11T00:00:00"/>
        <d v="2022-06-10T00:00:00"/>
        <d v="2022-06-09T00:00:00"/>
        <d v="2022-06-08T00:00:00"/>
        <d v="2022-06-07T00:00:00"/>
        <d v="2022-06-05T00:00:00"/>
        <d v="2022-06-04T00:00:00"/>
        <d v="2022-06-03T00:00:00"/>
        <d v="2022-06-02T00:00:00"/>
        <d v="2022-06-01T00:00:00"/>
        <d v="2022-05-31T00:00:00"/>
        <d v="2022-05-30T00:00:00"/>
        <d v="2022-05-29T00:00:00"/>
        <d v="2022-05-28T00:00:00"/>
        <d v="2022-05-27T00:00:00"/>
        <d v="2022-05-26T00:00:00"/>
        <d v="2022-05-25T00:00:00"/>
        <d v="2022-05-24T00:00:00"/>
        <d v="2022-05-22T00:00:00"/>
        <d v="2022-05-21T00:00:00"/>
        <d v="2022-05-20T00:00:00"/>
        <d v="2022-05-18T00:00:00"/>
        <d v="2022-05-17T00:00:00"/>
        <d v="2022-05-16T00:00:00"/>
        <d v="2022-05-15T00:00:00"/>
        <d v="2022-05-14T00:00:00"/>
        <d v="2022-05-13T00:00:00"/>
        <d v="2022-05-11T00:00:00"/>
        <d v="2022-05-10T00:00:00"/>
        <d v="2022-05-09T00:00:00"/>
        <d v="2022-05-08T00:00:00"/>
        <d v="2022-05-07T00:00:00"/>
        <d v="2022-05-06T00:00:00"/>
        <d v="2022-05-05T00:00:00"/>
        <d v="2022-05-04T00:00:00"/>
        <d v="2022-05-03T00:00:00"/>
        <d v="2022-05-02T00:00:00"/>
        <d v="2022-05-01T00:00:00"/>
        <d v="2022-04-30T00:00:00"/>
        <d v="2022-04-29T00:00:00"/>
        <d v="2022-04-28T00:00:00"/>
        <d v="2022-04-27T00:00:00"/>
        <d v="2022-04-26T00:00:00"/>
        <d v="2022-04-24T00:00:00"/>
        <d v="2022-04-23T00:00:00"/>
        <d v="2022-04-22T00:00:00"/>
        <d v="2022-04-20T00:00:00"/>
        <d v="2022-04-19T00:00:00"/>
        <d v="2022-04-18T00:00:00"/>
        <d v="2022-04-17T00:00:00"/>
        <d v="2022-04-16T00:00:00"/>
        <d v="2022-04-15T00:00:00"/>
        <d v="2022-04-14T00:00:00"/>
        <d v="2022-04-13T00:00:00"/>
        <d v="2022-04-12T00:00:00"/>
        <d v="2022-04-11T00:00:00"/>
        <d v="2022-04-10T00:00:00"/>
        <d v="2022-04-09T00:00:00"/>
        <d v="2022-04-08T00:00:00"/>
      </sharedItems>
      <fieldGroup par="23" base="0">
        <rangePr groupBy="months" startDate="2022-04-08T00:00:00" endDate="2023-04-24T00:00:00"/>
        <groupItems count="14">
          <s v="&lt;4/8/2022"/>
          <s v="Jan"/>
          <s v="Feb"/>
          <s v="Mar"/>
          <s v="Apr"/>
          <s v="May"/>
          <s v="Jun"/>
          <s v="Jul"/>
          <s v="Aug"/>
          <s v="Sep"/>
          <s v="Oct"/>
          <s v="Nov"/>
          <s v="Dec"/>
          <s v="&gt;4/24/2023"/>
        </groupItems>
      </fieldGroup>
    </cacheField>
    <cacheField name="Home_x000a_Away" numFmtId="0">
      <sharedItems containsBlank="1" count="2">
        <m/>
        <s v="@"/>
      </sharedItems>
    </cacheField>
    <cacheField name="Opp" numFmtId="0">
      <sharedItems/>
    </cacheField>
    <cacheField name="Result" numFmtId="0">
      <sharedItems/>
    </cacheField>
    <cacheField name="AB" numFmtId="0">
      <sharedItems containsSemiMixedTypes="0" containsString="0" containsNumber="1" containsInteger="1" minValue="16" maxValue="48"/>
    </cacheField>
    <cacheField name="R" numFmtId="0">
      <sharedItems containsSemiMixedTypes="0" containsString="0" containsNumber="1" containsInteger="1" minValue="0" maxValue="12"/>
    </cacheField>
    <cacheField name="H" numFmtId="0">
      <sharedItems containsSemiMixedTypes="0" containsString="0" containsNumber="1" containsInteger="1" minValue="0" maxValue="18"/>
    </cacheField>
    <cacheField name="1B" numFmtId="0">
      <sharedItems containsSemiMixedTypes="0" containsString="0" containsNumber="1" containsInteger="1" minValue="0" maxValue="11"/>
    </cacheField>
    <cacheField name="2B" numFmtId="0">
      <sharedItems containsSemiMixedTypes="0" containsString="0" containsNumber="1" containsInteger="1" minValue="0" maxValue="7"/>
    </cacheField>
    <cacheField name="3B" numFmtId="0">
      <sharedItems containsSemiMixedTypes="0" containsString="0" containsNumber="1" containsInteger="1" minValue="0" maxValue="2"/>
    </cacheField>
    <cacheField name="HR" numFmtId="0">
      <sharedItems containsSemiMixedTypes="0" containsString="0" containsNumber="1" containsInteger="1" minValue="0" maxValue="5" count="6">
        <n v="2"/>
        <n v="1"/>
        <n v="3"/>
        <n v="4"/>
        <n v="5"/>
        <n v="0"/>
      </sharedItems>
    </cacheField>
    <cacheField name="RBI" numFmtId="0">
      <sharedItems containsSemiMixedTypes="0" containsString="0" containsNumber="1" containsInteger="1" minValue="0" maxValue="12"/>
    </cacheField>
    <cacheField name="SB" numFmtId="0">
      <sharedItems containsSemiMixedTypes="0" containsString="0" containsNumber="1" containsInteger="1" minValue="0" maxValue="4"/>
    </cacheField>
    <cacheField name="CS" numFmtId="0">
      <sharedItems containsSemiMixedTypes="0" containsString="0" containsNumber="1" containsInteger="1" minValue="0" maxValue="2"/>
    </cacheField>
    <cacheField name="BB" numFmtId="0">
      <sharedItems containsSemiMixedTypes="0" containsString="0" containsNumber="1" containsInteger="1" minValue="0" maxValue="13"/>
    </cacheField>
    <cacheField name="SO" numFmtId="0">
      <sharedItems containsSemiMixedTypes="0" containsString="0" containsNumber="1" containsInteger="1" minValue="1" maxValue="15"/>
    </cacheField>
    <cacheField name="HBP" numFmtId="0">
      <sharedItems containsSemiMixedTypes="0" containsString="0" containsNumber="1" containsInteger="1" minValue="0" maxValue="3"/>
    </cacheField>
    <cacheField name="IBB" numFmtId="0">
      <sharedItems containsSemiMixedTypes="0" containsString="0" containsNumber="1" containsInteger="1" minValue="0" maxValue="1"/>
    </cacheField>
    <cacheField name="AVG" numFmtId="0" formula="H/AB" databaseField="0"/>
    <cacheField name="OBP" numFmtId="0" formula="(H+BB+HBP)/(AB+BB+HBP)" databaseField="0"/>
    <cacheField name="SLG" numFmtId="0" formula="(1*'1B'+ 2*'2B'+ 3*'3B'+ 4*HR)/AB" databaseField="0"/>
    <cacheField name="OPS" numFmtId="0" formula="OBP+SLG" databaseField="0"/>
    <cacheField name="Quarters" numFmtId="0" databaseField="0">
      <fieldGroup base="0">
        <rangePr groupBy="quarters" startDate="2022-04-08T00:00:00" endDate="2023-04-24T00:00:00"/>
        <groupItems count="6">
          <s v="&lt;4/8/2022"/>
          <s v="Qtr1"/>
          <s v="Qtr2"/>
          <s v="Qtr3"/>
          <s v="Qtr4"/>
          <s v="&gt;4/24/2023"/>
        </groupItems>
      </fieldGroup>
    </cacheField>
    <cacheField name="Years" numFmtId="0" databaseField="0">
      <fieldGroup base="0">
        <rangePr groupBy="years" startDate="2022-04-08T00:00:00" endDate="2023-04-24T00:00:00"/>
        <groupItems count="4">
          <s v="&lt;4/8/2022"/>
          <s v="2022"/>
          <s v="2023"/>
          <s v="&gt;4/24/2023"/>
        </groupItems>
      </fieldGroup>
    </cacheField>
    <cacheField name="StealAttempts" numFmtId="0" formula="SB+CS" databaseField="0"/>
  </cacheFields>
  <extLst>
    <ext xmlns:x14="http://schemas.microsoft.com/office/spreadsheetml/2009/9/main" uri="{725AE2AE-9491-48be-B2B4-4EB974FC3084}">
      <x14:pivotCacheDefinition pivotCacheId="21033342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
  <r>
    <x v="0"/>
    <x v="0"/>
    <s v="CHW"/>
    <s v="W 4 - 1"/>
    <n v="28"/>
    <n v="4"/>
    <n v="5"/>
    <n v="1"/>
    <n v="2"/>
    <n v="0"/>
    <x v="0"/>
    <n v="4"/>
    <n v="1"/>
    <n v="1"/>
    <n v="3"/>
    <n v="5"/>
    <n v="0"/>
    <n v="0"/>
  </r>
  <r>
    <x v="1"/>
    <x v="0"/>
    <s v="CHW"/>
    <s v="W 4-3 (10)"/>
    <n v="36"/>
    <n v="4"/>
    <n v="9"/>
    <n v="7"/>
    <n v="0"/>
    <n v="1"/>
    <x v="1"/>
    <n v="4"/>
    <n v="1"/>
    <n v="1"/>
    <n v="2"/>
    <n v="11"/>
    <n v="0"/>
    <n v="0"/>
  </r>
  <r>
    <x v="2"/>
    <x v="0"/>
    <s v="CHW"/>
    <s v="W 8-7"/>
    <n v="34"/>
    <n v="8"/>
    <n v="10"/>
    <n v="6"/>
    <n v="1"/>
    <n v="0"/>
    <x v="2"/>
    <n v="8"/>
    <n v="1"/>
    <n v="0"/>
    <n v="4"/>
    <n v="14"/>
    <n v="0"/>
    <n v="0"/>
  </r>
  <r>
    <x v="3"/>
    <x v="1"/>
    <s v="CIN"/>
    <s v="W 8-0"/>
    <n v="37"/>
    <n v="8"/>
    <n v="12"/>
    <n v="9"/>
    <n v="2"/>
    <n v="0"/>
    <x v="1"/>
    <n v="7"/>
    <n v="2"/>
    <n v="0"/>
    <n v="5"/>
    <n v="6"/>
    <n v="0"/>
    <n v="0"/>
  </r>
  <r>
    <x v="4"/>
    <x v="1"/>
    <s v="CIN"/>
    <s v="W 10-0"/>
    <n v="41"/>
    <n v="10"/>
    <n v="17"/>
    <n v="11"/>
    <n v="1"/>
    <n v="1"/>
    <x v="3"/>
    <n v="10"/>
    <n v="0"/>
    <n v="1"/>
    <n v="1"/>
    <n v="8"/>
    <n v="3"/>
    <n v="0"/>
  </r>
  <r>
    <x v="5"/>
    <x v="1"/>
    <s v="CIN"/>
    <s v="L 1-8"/>
    <n v="35"/>
    <n v="1"/>
    <n v="8"/>
    <n v="5"/>
    <n v="2"/>
    <n v="0"/>
    <x v="1"/>
    <n v="1"/>
    <n v="0"/>
    <n v="0"/>
    <n v="2"/>
    <n v="5"/>
    <n v="0"/>
    <n v="0"/>
  </r>
  <r>
    <x v="6"/>
    <x v="1"/>
    <s v="TOR"/>
    <s v="W 8-1"/>
    <n v="38"/>
    <n v="8"/>
    <n v="11"/>
    <n v="7"/>
    <n v="3"/>
    <n v="0"/>
    <x v="1"/>
    <n v="8"/>
    <n v="2"/>
    <n v="0"/>
    <n v="6"/>
    <n v="10"/>
    <n v="1"/>
    <n v="0"/>
  </r>
  <r>
    <x v="7"/>
    <x v="1"/>
    <s v="TOR"/>
    <s v="L 2-5"/>
    <n v="35"/>
    <n v="2"/>
    <n v="8"/>
    <n v="6"/>
    <n v="1"/>
    <n v="0"/>
    <x v="1"/>
    <n v="2"/>
    <n v="0"/>
    <n v="0"/>
    <n v="3"/>
    <n v="12"/>
    <n v="0"/>
    <n v="0"/>
  </r>
  <r>
    <x v="8"/>
    <x v="1"/>
    <s v="TOR"/>
    <s v="L 3-6"/>
    <n v="35"/>
    <n v="3"/>
    <n v="8"/>
    <n v="6"/>
    <n v="0"/>
    <n v="0"/>
    <x v="0"/>
    <n v="3"/>
    <n v="1"/>
    <n v="0"/>
    <n v="1"/>
    <n v="10"/>
    <n v="0"/>
    <n v="0"/>
  </r>
  <r>
    <x v="9"/>
    <x v="0"/>
    <s v="BOS"/>
    <s v="W 9-3"/>
    <n v="34"/>
    <n v="9"/>
    <n v="10"/>
    <n v="5"/>
    <n v="3"/>
    <n v="0"/>
    <x v="0"/>
    <n v="9"/>
    <n v="0"/>
    <n v="0"/>
    <n v="1"/>
    <n v="9"/>
    <n v="1"/>
    <n v="0"/>
  </r>
  <r>
    <x v="10"/>
    <x v="0"/>
    <s v="BOS"/>
    <s v="W 9-7"/>
    <n v="34"/>
    <n v="9"/>
    <n v="11"/>
    <n v="5"/>
    <n v="5"/>
    <n v="0"/>
    <x v="1"/>
    <n v="9"/>
    <n v="1"/>
    <n v="0"/>
    <n v="4"/>
    <n v="11"/>
    <n v="1"/>
    <n v="0"/>
  </r>
  <r>
    <x v="11"/>
    <x v="0"/>
    <s v="BOS"/>
    <s v="W 7-2"/>
    <n v="34"/>
    <n v="7"/>
    <n v="11"/>
    <n v="5"/>
    <n v="2"/>
    <n v="0"/>
    <x v="3"/>
    <n v="6"/>
    <n v="1"/>
    <n v="2"/>
    <n v="1"/>
    <n v="9"/>
    <n v="0"/>
    <n v="0"/>
  </r>
  <r>
    <x v="12"/>
    <x v="0"/>
    <s v="BOS"/>
    <s v="W 1-0"/>
    <n v="29"/>
    <n v="1"/>
    <n v="5"/>
    <n v="3"/>
    <n v="1"/>
    <n v="0"/>
    <x v="1"/>
    <n v="1"/>
    <n v="1"/>
    <n v="0"/>
    <n v="2"/>
    <n v="7"/>
    <n v="0"/>
    <n v="0"/>
  </r>
  <r>
    <x v="13"/>
    <x v="0"/>
    <s v="OAK"/>
    <s v="W 11-0"/>
    <n v="35"/>
    <n v="11"/>
    <n v="12"/>
    <n v="5"/>
    <n v="4"/>
    <n v="0"/>
    <x v="2"/>
    <n v="11"/>
    <n v="1"/>
    <n v="1"/>
    <n v="7"/>
    <n v="7"/>
    <n v="2"/>
    <n v="0"/>
  </r>
  <r>
    <x v="14"/>
    <x v="0"/>
    <s v="OAK"/>
    <s v="W 11-0"/>
    <n v="31"/>
    <n v="11"/>
    <n v="8"/>
    <n v="4"/>
    <n v="1"/>
    <n v="0"/>
    <x v="2"/>
    <n v="11"/>
    <n v="0"/>
    <n v="0"/>
    <n v="6"/>
    <n v="1"/>
    <n v="3"/>
    <n v="0"/>
  </r>
  <r>
    <x v="15"/>
    <x v="0"/>
    <s v="OAK"/>
    <s v="W 9-5"/>
    <n v="34"/>
    <n v="9"/>
    <n v="10"/>
    <n v="5"/>
    <n v="0"/>
    <n v="0"/>
    <x v="4"/>
    <n v="9"/>
    <n v="0"/>
    <n v="0"/>
    <n v="6"/>
    <n v="6"/>
    <n v="0"/>
    <n v="0"/>
  </r>
  <r>
    <x v="16"/>
    <x v="1"/>
    <s v="WSN"/>
    <s v="W 7-2"/>
    <n v="35"/>
    <n v="7"/>
    <n v="11"/>
    <n v="8"/>
    <n v="1"/>
    <n v="0"/>
    <x v="0"/>
    <n v="7"/>
    <n v="1"/>
    <n v="1"/>
    <n v="2"/>
    <n v="6"/>
    <n v="0"/>
    <n v="0"/>
  </r>
  <r>
    <x v="17"/>
    <x v="1"/>
    <s v="WSN"/>
    <s v="W 10-6"/>
    <n v="35"/>
    <n v="10"/>
    <n v="10"/>
    <n v="3"/>
    <n v="3"/>
    <n v="0"/>
    <x v="3"/>
    <n v="10"/>
    <n v="1"/>
    <n v="1"/>
    <n v="4"/>
    <n v="7"/>
    <n v="0"/>
    <n v="0"/>
  </r>
  <r>
    <x v="18"/>
    <x v="1"/>
    <s v="WSN"/>
    <s v="W 6-2"/>
    <n v="34"/>
    <n v="6"/>
    <n v="9"/>
    <n v="6"/>
    <n v="0"/>
    <n v="0"/>
    <x v="2"/>
    <n v="6"/>
    <n v="1"/>
    <n v="0"/>
    <n v="1"/>
    <n v="5"/>
    <n v="0"/>
    <n v="0"/>
  </r>
  <r>
    <x v="19"/>
    <x v="0"/>
    <s v="DET"/>
    <s v="W 5-1"/>
    <n v="32"/>
    <n v="5"/>
    <n v="8"/>
    <n v="5"/>
    <n v="2"/>
    <n v="0"/>
    <x v="1"/>
    <n v="4"/>
    <n v="2"/>
    <n v="0"/>
    <n v="2"/>
    <n v="4"/>
    <n v="1"/>
    <n v="0"/>
  </r>
  <r>
    <x v="20"/>
    <x v="0"/>
    <s v="DET"/>
    <s v="W 12-2"/>
    <n v="36"/>
    <n v="12"/>
    <n v="13"/>
    <n v="5"/>
    <n v="7"/>
    <n v="0"/>
    <x v="1"/>
    <n v="12"/>
    <n v="0"/>
    <n v="0"/>
    <n v="7"/>
    <n v="15"/>
    <n v="2"/>
    <n v="0"/>
  </r>
  <r>
    <x v="21"/>
    <x v="0"/>
    <s v="DET"/>
    <s v="W 4-0"/>
    <n v="29"/>
    <n v="4"/>
    <n v="6"/>
    <n v="4"/>
    <n v="0"/>
    <n v="0"/>
    <x v="0"/>
    <n v="4"/>
    <n v="0"/>
    <n v="0"/>
    <n v="3"/>
    <n v="7"/>
    <n v="0"/>
    <n v="0"/>
  </r>
  <r>
    <x v="22"/>
    <x v="1"/>
    <s v="BOS"/>
    <s v="L 3-6"/>
    <n v="32"/>
    <n v="3"/>
    <n v="7"/>
    <n v="2"/>
    <n v="3"/>
    <n v="0"/>
    <x v="0"/>
    <n v="3"/>
    <n v="0"/>
    <n v="0"/>
    <n v="6"/>
    <n v="8"/>
    <n v="1"/>
    <n v="0"/>
  </r>
  <r>
    <x v="23"/>
    <x v="1"/>
    <s v="BOS"/>
    <s v="L 0-6 (5)"/>
    <n v="16"/>
    <n v="0"/>
    <n v="2"/>
    <n v="1"/>
    <n v="1"/>
    <n v="0"/>
    <x v="5"/>
    <n v="0"/>
    <n v="0"/>
    <n v="0"/>
    <n v="2"/>
    <n v="4"/>
    <n v="0"/>
    <n v="0"/>
  </r>
  <r>
    <x v="24"/>
    <x v="1"/>
    <s v="BOS"/>
    <s v="L 3-4"/>
    <n v="31"/>
    <n v="3"/>
    <n v="5"/>
    <n v="2"/>
    <n v="0"/>
    <n v="1"/>
    <x v="0"/>
    <n v="3"/>
    <n v="0"/>
    <n v="0"/>
    <n v="1"/>
    <n v="8"/>
    <n v="0"/>
    <n v="0"/>
  </r>
  <r>
    <x v="25"/>
    <x v="1"/>
    <s v="HOU"/>
    <s v="L 1-3"/>
    <n v="32"/>
    <n v="1"/>
    <n v="6"/>
    <n v="5"/>
    <n v="1"/>
    <n v="0"/>
    <x v="5"/>
    <n v="1"/>
    <n v="0"/>
    <n v="0"/>
    <n v="4"/>
    <n v="10"/>
    <n v="0"/>
    <n v="0"/>
  </r>
  <r>
    <x v="26"/>
    <x v="1"/>
    <s v="HOU"/>
    <s v="L 1-2"/>
    <n v="29"/>
    <n v="1"/>
    <n v="4"/>
    <n v="3"/>
    <n v="1"/>
    <n v="0"/>
    <x v="5"/>
    <n v="1"/>
    <n v="0"/>
    <n v="1"/>
    <n v="4"/>
    <n v="12"/>
    <n v="0"/>
    <n v="0"/>
  </r>
  <r>
    <x v="27"/>
    <x v="1"/>
    <s v="HOU"/>
    <s v="W 7-3"/>
    <n v="37"/>
    <n v="7"/>
    <n v="10"/>
    <n v="6"/>
    <n v="2"/>
    <n v="1"/>
    <x v="1"/>
    <n v="7"/>
    <n v="0"/>
    <n v="0"/>
    <n v="5"/>
    <n v="8"/>
    <n v="0"/>
    <n v="0"/>
  </r>
  <r>
    <x v="28"/>
    <x v="1"/>
    <s v="CLE"/>
    <s v="L 1-2"/>
    <n v="31"/>
    <n v="1"/>
    <n v="4"/>
    <n v="3"/>
    <n v="1"/>
    <n v="0"/>
    <x v="5"/>
    <n v="1"/>
    <n v="3"/>
    <n v="0"/>
    <n v="3"/>
    <n v="9"/>
    <n v="1"/>
    <n v="0"/>
  </r>
  <r>
    <x v="29"/>
    <x v="1"/>
    <s v="CLE"/>
    <s v="L 1-2 (10)"/>
    <n v="34"/>
    <n v="1"/>
    <n v="6"/>
    <n v="4"/>
    <n v="2"/>
    <n v="0"/>
    <x v="5"/>
    <n v="1"/>
    <n v="1"/>
    <n v="1"/>
    <n v="3"/>
    <n v="13"/>
    <n v="0"/>
    <n v="0"/>
  </r>
  <r>
    <x v="30"/>
    <x v="1"/>
    <s v="CLE"/>
    <s v="W 6-5 (11)"/>
    <n v="40"/>
    <n v="6"/>
    <n v="7"/>
    <n v="3"/>
    <n v="3"/>
    <n v="0"/>
    <x v="1"/>
    <n v="6"/>
    <n v="2"/>
    <n v="0"/>
    <n v="1"/>
    <n v="13"/>
    <n v="0"/>
    <n v="0"/>
  </r>
  <r>
    <x v="31"/>
    <x v="0"/>
    <s v="TOR"/>
    <s v="L 1-7"/>
    <n v="33"/>
    <n v="1"/>
    <n v="7"/>
    <n v="5"/>
    <n v="2"/>
    <n v="0"/>
    <x v="5"/>
    <n v="1"/>
    <n v="0"/>
    <n v="0"/>
    <n v="1"/>
    <n v="10"/>
    <n v="1"/>
    <n v="0"/>
  </r>
  <r>
    <x v="32"/>
    <x v="0"/>
    <s v="TOR"/>
    <s v="L 1-3"/>
    <n v="33"/>
    <n v="1"/>
    <n v="7"/>
    <n v="5"/>
    <n v="2"/>
    <n v="0"/>
    <x v="5"/>
    <n v="0"/>
    <n v="0"/>
    <n v="0"/>
    <n v="2"/>
    <n v="12"/>
    <n v="0"/>
    <n v="0"/>
  </r>
  <r>
    <x v="33"/>
    <x v="0"/>
    <s v="TOR"/>
    <s v="W 10-6"/>
    <n v="33"/>
    <n v="10"/>
    <n v="11"/>
    <n v="7"/>
    <n v="3"/>
    <n v="0"/>
    <x v="1"/>
    <n v="9"/>
    <n v="0"/>
    <n v="1"/>
    <n v="6"/>
    <n v="4"/>
    <n v="0"/>
    <n v="1"/>
  </r>
  <r>
    <x v="34"/>
    <x v="0"/>
    <s v="TOR"/>
    <s v="W 10-5"/>
    <n v="36"/>
    <n v="10"/>
    <n v="12"/>
    <n v="7"/>
    <n v="4"/>
    <n v="0"/>
    <x v="1"/>
    <n v="9"/>
    <n v="1"/>
    <n v="0"/>
    <n v="5"/>
    <n v="8"/>
    <n v="0"/>
    <n v="0"/>
  </r>
  <r>
    <x v="35"/>
    <x v="0"/>
    <s v="HOU"/>
    <s v="L 2-5"/>
    <n v="34"/>
    <n v="2"/>
    <n v="7"/>
    <n v="4"/>
    <n v="2"/>
    <n v="0"/>
    <x v="1"/>
    <n v="2"/>
    <n v="1"/>
    <n v="0"/>
    <n v="3"/>
    <n v="10"/>
    <n v="0"/>
    <n v="0"/>
  </r>
  <r>
    <x v="36"/>
    <x v="0"/>
    <s v="HOU"/>
    <s v="L 0-5"/>
    <n v="29"/>
    <n v="0"/>
    <n v="3"/>
    <n v="2"/>
    <n v="1"/>
    <n v="0"/>
    <x v="5"/>
    <n v="0"/>
    <n v="0"/>
    <n v="0"/>
    <n v="6"/>
    <n v="12"/>
    <n v="0"/>
    <n v="0"/>
  </r>
  <r>
    <x v="37"/>
    <x v="0"/>
    <s v="HOU"/>
    <s v="L 0-4"/>
    <n v="32"/>
    <n v="0"/>
    <n v="5"/>
    <n v="3"/>
    <n v="2"/>
    <n v="0"/>
    <x v="5"/>
    <n v="0"/>
    <n v="1"/>
    <n v="0"/>
    <n v="5"/>
    <n v="9"/>
    <n v="0"/>
    <n v="0"/>
  </r>
  <r>
    <x v="38"/>
    <x v="0"/>
    <s v="TEX"/>
    <s v="W 5-3"/>
    <n v="33"/>
    <n v="5"/>
    <n v="10"/>
    <n v="6"/>
    <n v="2"/>
    <n v="0"/>
    <x v="0"/>
    <n v="5"/>
    <n v="1"/>
    <n v="0"/>
    <n v="2"/>
    <n v="8"/>
    <n v="0"/>
    <n v="0"/>
  </r>
  <r>
    <x v="39"/>
    <x v="0"/>
    <s v="TEX"/>
    <s v="W 5-1"/>
    <n v="27"/>
    <n v="5"/>
    <n v="7"/>
    <n v="5"/>
    <n v="1"/>
    <n v="0"/>
    <x v="1"/>
    <n v="5"/>
    <n v="1"/>
    <n v="0"/>
    <n v="2"/>
    <n v="5"/>
    <n v="1"/>
    <n v="0"/>
  </r>
  <r>
    <x v="40"/>
    <x v="0"/>
    <s v="TEX"/>
    <s v="L 3-4"/>
    <n v="37"/>
    <n v="3"/>
    <n v="10"/>
    <n v="8"/>
    <n v="2"/>
    <n v="0"/>
    <x v="5"/>
    <n v="3"/>
    <n v="0"/>
    <n v="0"/>
    <n v="3"/>
    <n v="5"/>
    <n v="2"/>
    <n v="0"/>
  </r>
  <r>
    <x v="41"/>
    <x v="1"/>
    <s v="TOR"/>
    <s v="W 11-0"/>
    <n v="37"/>
    <n v="11"/>
    <n v="11"/>
    <n v="7"/>
    <n v="2"/>
    <n v="0"/>
    <x v="0"/>
    <n v="11"/>
    <n v="1"/>
    <n v="1"/>
    <n v="4"/>
    <n v="7"/>
    <n v="1"/>
    <n v="0"/>
  </r>
  <r>
    <x v="42"/>
    <x v="1"/>
    <s v="TOR"/>
    <s v="L 1-5"/>
    <n v="34"/>
    <n v="1"/>
    <n v="7"/>
    <n v="4"/>
    <n v="2"/>
    <n v="0"/>
    <x v="1"/>
    <n v="1"/>
    <n v="0"/>
    <n v="0"/>
    <n v="2"/>
    <n v="8"/>
    <n v="0"/>
    <n v="0"/>
  </r>
  <r>
    <x v="43"/>
    <x v="1"/>
    <s v="TOR"/>
    <s v="L 2-7"/>
    <n v="33"/>
    <n v="2"/>
    <n v="7"/>
    <n v="5"/>
    <n v="0"/>
    <n v="0"/>
    <x v="0"/>
    <n v="2"/>
    <n v="1"/>
    <n v="1"/>
    <n v="3"/>
    <n v="6"/>
    <n v="1"/>
    <n v="0"/>
  </r>
  <r>
    <x v="43"/>
    <x v="1"/>
    <s v="TOR"/>
    <s v="W 4-2"/>
    <n v="34"/>
    <n v="4"/>
    <n v="9"/>
    <n v="8"/>
    <n v="1"/>
    <n v="0"/>
    <x v="5"/>
    <n v="4"/>
    <n v="1"/>
    <n v="0"/>
    <n v="0"/>
    <n v="4"/>
    <n v="0"/>
    <n v="0"/>
  </r>
  <r>
    <x v="44"/>
    <x v="1"/>
    <s v="TOR"/>
    <s v="L 2-3"/>
    <n v="32"/>
    <n v="2"/>
    <n v="6"/>
    <n v="5"/>
    <n v="1"/>
    <n v="0"/>
    <x v="5"/>
    <n v="2"/>
    <n v="0"/>
    <n v="0"/>
    <n v="1"/>
    <n v="5"/>
    <n v="2"/>
    <n v="0"/>
  </r>
  <r>
    <x v="45"/>
    <x v="1"/>
    <s v="NYY"/>
    <s v="L 4-10"/>
    <n v="36"/>
    <n v="4"/>
    <n v="10"/>
    <n v="8"/>
    <n v="2"/>
    <n v="0"/>
    <x v="5"/>
    <n v="4"/>
    <n v="0"/>
    <n v="0"/>
    <n v="3"/>
    <n v="9"/>
    <n v="0"/>
    <n v="0"/>
  </r>
  <r>
    <x v="46"/>
    <x v="1"/>
    <s v="NYY"/>
    <s v="L 3-10"/>
    <n v="34"/>
    <n v="3"/>
    <n v="7"/>
    <n v="5"/>
    <n v="2"/>
    <n v="0"/>
    <x v="5"/>
    <n v="3"/>
    <n v="0"/>
    <n v="0"/>
    <n v="1"/>
    <n v="9"/>
    <n v="0"/>
    <n v="0"/>
  </r>
  <r>
    <x v="47"/>
    <x v="1"/>
    <s v="NYY"/>
    <s v="W 4-2"/>
    <n v="37"/>
    <n v="4"/>
    <n v="11"/>
    <n v="7"/>
    <n v="4"/>
    <n v="0"/>
    <x v="5"/>
    <n v="4"/>
    <n v="1"/>
    <n v="0"/>
    <n v="4"/>
    <n v="5"/>
    <n v="1"/>
    <n v="0"/>
  </r>
  <r>
    <x v="48"/>
    <x v="0"/>
    <s v="BOS"/>
    <s v="W 1-0"/>
    <n v="27"/>
    <n v="1"/>
    <n v="4"/>
    <n v="2"/>
    <n v="2"/>
    <n v="0"/>
    <x v="5"/>
    <n v="1"/>
    <n v="2"/>
    <n v="0"/>
    <n v="4"/>
    <n v="4"/>
    <n v="0"/>
    <n v="1"/>
  </r>
  <r>
    <x v="49"/>
    <x v="0"/>
    <s v="BOS"/>
    <s v="W 8-4"/>
    <n v="34"/>
    <n v="8"/>
    <n v="13"/>
    <n v="6"/>
    <n v="4"/>
    <n v="0"/>
    <x v="2"/>
    <n v="8"/>
    <n v="0"/>
    <n v="0"/>
    <n v="2"/>
    <n v="8"/>
    <n v="1"/>
    <n v="0"/>
  </r>
  <r>
    <x v="50"/>
    <x v="0"/>
    <s v="BOS"/>
    <s v="W 4-3"/>
    <n v="33"/>
    <n v="4"/>
    <n v="9"/>
    <n v="4"/>
    <n v="5"/>
    <n v="0"/>
    <x v="5"/>
    <n v="4"/>
    <n v="1"/>
    <n v="0"/>
    <n v="0"/>
    <n v="8"/>
    <n v="1"/>
    <n v="0"/>
  </r>
  <r>
    <x v="51"/>
    <x v="0"/>
    <s v="NYY"/>
    <s v="L 1-2"/>
    <n v="34"/>
    <n v="1"/>
    <n v="6"/>
    <n v="3"/>
    <n v="3"/>
    <n v="0"/>
    <x v="5"/>
    <n v="1"/>
    <n v="0"/>
    <n v="0"/>
    <n v="2"/>
    <n v="12"/>
    <n v="0"/>
    <n v="0"/>
  </r>
  <r>
    <x v="52"/>
    <x v="0"/>
    <s v="NYY"/>
    <s v="W 2-1"/>
    <n v="27"/>
    <n v="2"/>
    <n v="7"/>
    <n v="7"/>
    <n v="0"/>
    <n v="0"/>
    <x v="5"/>
    <n v="2"/>
    <n v="1"/>
    <n v="1"/>
    <n v="2"/>
    <n v="5"/>
    <n v="1"/>
    <n v="0"/>
  </r>
  <r>
    <x v="53"/>
    <x v="0"/>
    <s v="NYY"/>
    <s v="W 9-0"/>
    <n v="34"/>
    <n v="9"/>
    <n v="11"/>
    <n v="9"/>
    <n v="1"/>
    <n v="0"/>
    <x v="1"/>
    <n v="8"/>
    <n v="0"/>
    <n v="0"/>
    <n v="5"/>
    <n v="3"/>
    <n v="1"/>
    <n v="0"/>
  </r>
  <r>
    <x v="54"/>
    <x v="1"/>
    <s v="MIA"/>
    <s v="W 2-1 (10)"/>
    <n v="38"/>
    <n v="2"/>
    <n v="10"/>
    <n v="8"/>
    <n v="2"/>
    <n v="0"/>
    <x v="5"/>
    <n v="2"/>
    <n v="1"/>
    <n v="0"/>
    <n v="2"/>
    <n v="9"/>
    <n v="0"/>
    <n v="1"/>
  </r>
  <r>
    <x v="55"/>
    <x v="1"/>
    <s v="MIA"/>
    <s v="W 7-2"/>
    <n v="41"/>
    <n v="7"/>
    <n v="14"/>
    <n v="8"/>
    <n v="4"/>
    <n v="0"/>
    <x v="0"/>
    <n v="6"/>
    <n v="2"/>
    <n v="0"/>
    <n v="2"/>
    <n v="10"/>
    <n v="1"/>
    <n v="0"/>
  </r>
  <r>
    <x v="56"/>
    <x v="1"/>
    <s v="BOS"/>
    <s v="W 12-4"/>
    <n v="42"/>
    <n v="12"/>
    <n v="17"/>
    <n v="10"/>
    <n v="5"/>
    <n v="0"/>
    <x v="0"/>
    <n v="12"/>
    <n v="1"/>
    <n v="0"/>
    <n v="6"/>
    <n v="7"/>
    <n v="0"/>
    <n v="0"/>
  </r>
  <r>
    <x v="57"/>
    <x v="1"/>
    <s v="BOS"/>
    <s v="L 1-5"/>
    <n v="33"/>
    <n v="1"/>
    <n v="6"/>
    <n v="6"/>
    <n v="0"/>
    <n v="0"/>
    <x v="5"/>
    <n v="1"/>
    <n v="1"/>
    <n v="0"/>
    <n v="2"/>
    <n v="12"/>
    <n v="0"/>
    <n v="0"/>
  </r>
  <r>
    <x v="58"/>
    <x v="1"/>
    <s v="BOS"/>
    <s v="L 8-9"/>
    <n v="34"/>
    <n v="8"/>
    <n v="9"/>
    <n v="3"/>
    <n v="3"/>
    <n v="0"/>
    <x v="2"/>
    <n v="8"/>
    <n v="1"/>
    <n v="0"/>
    <n v="2"/>
    <n v="10"/>
    <n v="2"/>
    <n v="0"/>
  </r>
  <r>
    <x v="59"/>
    <x v="0"/>
    <s v="LAA"/>
    <s v="W 8-3"/>
    <n v="32"/>
    <n v="8"/>
    <n v="7"/>
    <n v="4"/>
    <n v="1"/>
    <n v="1"/>
    <x v="1"/>
    <n v="7"/>
    <n v="0"/>
    <n v="0"/>
    <n v="4"/>
    <n v="8"/>
    <n v="2"/>
    <n v="0"/>
  </r>
  <r>
    <x v="60"/>
    <x v="0"/>
    <s v="LAA"/>
    <s v="W 4-3 (11)"/>
    <n v="35"/>
    <n v="4"/>
    <n v="5"/>
    <n v="3"/>
    <n v="2"/>
    <n v="0"/>
    <x v="5"/>
    <n v="3"/>
    <n v="1"/>
    <n v="0"/>
    <n v="5"/>
    <n v="8"/>
    <n v="0"/>
    <n v="1"/>
  </r>
  <r>
    <x v="61"/>
    <x v="0"/>
    <s v="LAA"/>
    <s v="W 11-1"/>
    <n v="38"/>
    <n v="11"/>
    <n v="14"/>
    <n v="8"/>
    <n v="4"/>
    <n v="0"/>
    <x v="0"/>
    <n v="11"/>
    <n v="0"/>
    <n v="0"/>
    <n v="4"/>
    <n v="8"/>
    <n v="0"/>
    <n v="0"/>
  </r>
  <r>
    <x v="62"/>
    <x v="0"/>
    <s v="LAA"/>
    <s v="W 2-1"/>
    <n v="29"/>
    <n v="2"/>
    <n v="7"/>
    <n v="5"/>
    <n v="1"/>
    <n v="0"/>
    <x v="1"/>
    <n v="2"/>
    <n v="0"/>
    <n v="0"/>
    <n v="5"/>
    <n v="4"/>
    <n v="0"/>
    <n v="0"/>
  </r>
  <r>
    <x v="63"/>
    <x v="0"/>
    <s v="KCR"/>
    <s v="W 3-2"/>
    <n v="31"/>
    <n v="3"/>
    <n v="9"/>
    <n v="7"/>
    <n v="1"/>
    <n v="0"/>
    <x v="1"/>
    <n v="3"/>
    <n v="1"/>
    <n v="0"/>
    <n v="2"/>
    <n v="5"/>
    <n v="0"/>
    <n v="0"/>
  </r>
  <r>
    <x v="64"/>
    <x v="0"/>
    <s v="KCR"/>
    <s v="W 5-2"/>
    <n v="32"/>
    <n v="5"/>
    <n v="10"/>
    <n v="6"/>
    <n v="4"/>
    <n v="0"/>
    <x v="5"/>
    <n v="4"/>
    <n v="0"/>
    <n v="0"/>
    <n v="2"/>
    <n v="2"/>
    <n v="0"/>
    <n v="0"/>
  </r>
  <r>
    <x v="65"/>
    <x v="0"/>
    <s v="KCR"/>
    <s v="L 2-3 (10)"/>
    <n v="32"/>
    <n v="2"/>
    <n v="6"/>
    <n v="5"/>
    <n v="1"/>
    <n v="0"/>
    <x v="5"/>
    <n v="2"/>
    <n v="1"/>
    <n v="1"/>
    <n v="4"/>
    <n v="12"/>
    <n v="0"/>
    <n v="0"/>
  </r>
  <r>
    <x v="66"/>
    <x v="0"/>
    <s v="KCR"/>
    <s v="W 7-1"/>
    <n v="35"/>
    <n v="7"/>
    <n v="12"/>
    <n v="6"/>
    <n v="3"/>
    <n v="1"/>
    <x v="0"/>
    <n v="6"/>
    <n v="0"/>
    <n v="0"/>
    <n v="2"/>
    <n v="6"/>
    <n v="0"/>
    <n v="0"/>
  </r>
  <r>
    <x v="67"/>
    <x v="1"/>
    <s v="NYY"/>
    <s v="L 7-8 (10)"/>
    <n v="39"/>
    <n v="7"/>
    <n v="9"/>
    <n v="4"/>
    <n v="4"/>
    <n v="0"/>
    <x v="1"/>
    <n v="7"/>
    <n v="1"/>
    <n v="0"/>
    <n v="6"/>
    <n v="13"/>
    <n v="1"/>
    <n v="0"/>
  </r>
  <r>
    <x v="68"/>
    <x v="1"/>
    <s v="NYY"/>
    <s v="W 3-1"/>
    <n v="31"/>
    <n v="3"/>
    <n v="4"/>
    <n v="3"/>
    <n v="0"/>
    <n v="0"/>
    <x v="1"/>
    <n v="3"/>
    <n v="1"/>
    <n v="1"/>
    <n v="0"/>
    <n v="4"/>
    <n v="0"/>
    <n v="0"/>
  </r>
  <r>
    <x v="69"/>
    <x v="1"/>
    <s v="NYY"/>
    <s v="W 4-0"/>
    <n v="33"/>
    <n v="4"/>
    <n v="7"/>
    <n v="5"/>
    <n v="1"/>
    <n v="1"/>
    <x v="5"/>
    <n v="4"/>
    <n v="0"/>
    <n v="0"/>
    <n v="4"/>
    <n v="10"/>
    <n v="1"/>
    <n v="0"/>
  </r>
  <r>
    <x v="70"/>
    <x v="0"/>
    <s v="BAL"/>
    <s v="W 4-1"/>
    <n v="31"/>
    <n v="4"/>
    <n v="8"/>
    <n v="5"/>
    <n v="2"/>
    <n v="0"/>
    <x v="1"/>
    <n v="4"/>
    <n v="0"/>
    <n v="0"/>
    <n v="2"/>
    <n v="11"/>
    <n v="0"/>
    <n v="0"/>
  </r>
  <r>
    <x v="71"/>
    <x v="0"/>
    <s v="BAL"/>
    <s v="W 8-2"/>
    <n v="34"/>
    <n v="8"/>
    <n v="11"/>
    <n v="8"/>
    <n v="2"/>
    <n v="0"/>
    <x v="1"/>
    <n v="8"/>
    <n v="2"/>
    <n v="0"/>
    <n v="5"/>
    <n v="9"/>
    <n v="0"/>
    <n v="0"/>
  </r>
  <r>
    <x v="72"/>
    <x v="0"/>
    <s v="BAL"/>
    <s v="L 3-10"/>
    <n v="33"/>
    <n v="3"/>
    <n v="5"/>
    <n v="3"/>
    <n v="1"/>
    <n v="0"/>
    <x v="1"/>
    <n v="3"/>
    <n v="0"/>
    <n v="0"/>
    <n v="1"/>
    <n v="11"/>
    <n v="0"/>
    <n v="0"/>
  </r>
  <r>
    <x v="73"/>
    <x v="1"/>
    <s v="MIL"/>
    <s v="L 3-4 (10)"/>
    <n v="34"/>
    <n v="3"/>
    <n v="5"/>
    <n v="2"/>
    <n v="1"/>
    <n v="0"/>
    <x v="0"/>
    <n v="3"/>
    <n v="0"/>
    <n v="1"/>
    <n v="2"/>
    <n v="8"/>
    <n v="0"/>
    <n v="0"/>
  </r>
  <r>
    <x v="74"/>
    <x v="1"/>
    <s v="MIL"/>
    <s v="L 3-5"/>
    <n v="29"/>
    <n v="3"/>
    <n v="4"/>
    <n v="2"/>
    <n v="1"/>
    <n v="0"/>
    <x v="1"/>
    <n v="3"/>
    <n v="0"/>
    <n v="0"/>
    <n v="1"/>
    <n v="7"/>
    <n v="0"/>
    <n v="0"/>
  </r>
  <r>
    <x v="75"/>
    <x v="1"/>
    <s v="DET"/>
    <s v="W 7-0"/>
    <n v="35"/>
    <n v="7"/>
    <n v="9"/>
    <n v="7"/>
    <n v="2"/>
    <n v="0"/>
    <x v="5"/>
    <n v="7"/>
    <n v="0"/>
    <n v="1"/>
    <n v="6"/>
    <n v="9"/>
    <n v="0"/>
    <n v="0"/>
  </r>
  <r>
    <x v="76"/>
    <x v="1"/>
    <s v="DET"/>
    <s v="L 1-9"/>
    <n v="36"/>
    <n v="1"/>
    <n v="9"/>
    <n v="6"/>
    <n v="2"/>
    <n v="0"/>
    <x v="1"/>
    <n v="1"/>
    <n v="0"/>
    <n v="0"/>
    <n v="3"/>
    <n v="12"/>
    <n v="0"/>
    <n v="0"/>
  </r>
  <r>
    <x v="77"/>
    <x v="1"/>
    <s v="DET"/>
    <s v="W 5-3"/>
    <n v="32"/>
    <n v="5"/>
    <n v="7"/>
    <n v="5"/>
    <n v="2"/>
    <n v="0"/>
    <x v="5"/>
    <n v="5"/>
    <n v="0"/>
    <n v="1"/>
    <n v="13"/>
    <n v="9"/>
    <n v="0"/>
    <n v="0"/>
  </r>
  <r>
    <x v="78"/>
    <x v="1"/>
    <s v="DET"/>
    <s v="W 6-2"/>
    <n v="37"/>
    <n v="6"/>
    <n v="12"/>
    <n v="8"/>
    <n v="3"/>
    <n v="0"/>
    <x v="1"/>
    <n v="5"/>
    <n v="1"/>
    <n v="0"/>
    <n v="5"/>
    <n v="6"/>
    <n v="0"/>
    <n v="0"/>
  </r>
  <r>
    <x v="79"/>
    <x v="0"/>
    <s v="TOR"/>
    <s v="W 3-2"/>
    <n v="29"/>
    <n v="3"/>
    <n v="6"/>
    <n v="6"/>
    <n v="0"/>
    <n v="0"/>
    <x v="5"/>
    <n v="3"/>
    <n v="1"/>
    <n v="0"/>
    <n v="3"/>
    <n v="10"/>
    <n v="1"/>
    <n v="0"/>
  </r>
  <r>
    <x v="80"/>
    <x v="0"/>
    <s v="TOR"/>
    <s v="L 1-3"/>
    <n v="28"/>
    <n v="1"/>
    <n v="2"/>
    <n v="1"/>
    <n v="0"/>
    <n v="0"/>
    <x v="1"/>
    <n v="1"/>
    <n v="0"/>
    <n v="0"/>
    <n v="1"/>
    <n v="11"/>
    <n v="1"/>
    <n v="0"/>
  </r>
  <r>
    <x v="81"/>
    <x v="0"/>
    <s v="CLE"/>
    <s v="L 3-5"/>
    <n v="32"/>
    <n v="3"/>
    <n v="8"/>
    <n v="3"/>
    <n v="5"/>
    <n v="0"/>
    <x v="5"/>
    <n v="2"/>
    <n v="0"/>
    <n v="1"/>
    <n v="5"/>
    <n v="6"/>
    <n v="0"/>
    <n v="0"/>
  </r>
  <r>
    <x v="82"/>
    <x v="0"/>
    <s v="CLE"/>
    <s v="W 6-4"/>
    <n v="33"/>
    <n v="6"/>
    <n v="10"/>
    <n v="7"/>
    <n v="1"/>
    <n v="0"/>
    <x v="0"/>
    <n v="6"/>
    <n v="1"/>
    <n v="0"/>
    <n v="3"/>
    <n v="12"/>
    <n v="0"/>
    <n v="0"/>
  </r>
  <r>
    <x v="83"/>
    <x v="0"/>
    <s v="CLE"/>
    <s v="L 1-4"/>
    <n v="32"/>
    <n v="1"/>
    <n v="6"/>
    <n v="6"/>
    <n v="0"/>
    <n v="0"/>
    <x v="5"/>
    <n v="1"/>
    <n v="0"/>
    <n v="0"/>
    <n v="2"/>
    <n v="11"/>
    <n v="0"/>
    <n v="0"/>
  </r>
  <r>
    <x v="84"/>
    <x v="1"/>
    <s v="BAL"/>
    <s v="L 0-3"/>
    <n v="31"/>
    <n v="0"/>
    <n v="4"/>
    <n v="4"/>
    <n v="0"/>
    <n v="0"/>
    <x v="5"/>
    <n v="0"/>
    <n v="0"/>
    <n v="0"/>
    <n v="5"/>
    <n v="9"/>
    <n v="1"/>
    <n v="0"/>
  </r>
  <r>
    <x v="85"/>
    <x v="1"/>
    <s v="BAL"/>
    <s v="W 6-4 (10)"/>
    <n v="39"/>
    <n v="6"/>
    <n v="11"/>
    <n v="6"/>
    <n v="3"/>
    <n v="0"/>
    <x v="0"/>
    <n v="6"/>
    <n v="0"/>
    <n v="0"/>
    <n v="3"/>
    <n v="13"/>
    <n v="0"/>
    <n v="1"/>
  </r>
  <r>
    <x v="86"/>
    <x v="1"/>
    <s v="BAL"/>
    <s v="L 3-5"/>
    <n v="38"/>
    <n v="3"/>
    <n v="12"/>
    <n v="10"/>
    <n v="1"/>
    <n v="0"/>
    <x v="1"/>
    <n v="3"/>
    <n v="0"/>
    <n v="0"/>
    <n v="1"/>
    <n v="7"/>
    <n v="0"/>
    <n v="0"/>
  </r>
  <r>
    <x v="87"/>
    <x v="1"/>
    <s v="BAL"/>
    <s v="L 1-5"/>
    <n v="35"/>
    <n v="1"/>
    <n v="8"/>
    <n v="5"/>
    <n v="2"/>
    <n v="0"/>
    <x v="1"/>
    <n v="1"/>
    <n v="1"/>
    <n v="0"/>
    <n v="3"/>
    <n v="10"/>
    <n v="0"/>
    <n v="0"/>
  </r>
  <r>
    <x v="88"/>
    <x v="1"/>
    <s v="KCR"/>
    <s v="L 2-4"/>
    <n v="29"/>
    <n v="2"/>
    <n v="5"/>
    <n v="2"/>
    <n v="2"/>
    <n v="0"/>
    <x v="1"/>
    <n v="2"/>
    <n v="0"/>
    <n v="0"/>
    <n v="3"/>
    <n v="6"/>
    <n v="0"/>
    <n v="0"/>
  </r>
  <r>
    <x v="89"/>
    <x v="1"/>
    <s v="KCR"/>
    <s v="L 3-6"/>
    <n v="33"/>
    <n v="3"/>
    <n v="8"/>
    <n v="7"/>
    <n v="0"/>
    <n v="1"/>
    <x v="5"/>
    <n v="3"/>
    <n v="0"/>
    <n v="0"/>
    <n v="2"/>
    <n v="13"/>
    <n v="0"/>
    <n v="0"/>
  </r>
  <r>
    <x v="90"/>
    <x v="1"/>
    <s v="KCR"/>
    <s v="W 7-3"/>
    <n v="34"/>
    <n v="7"/>
    <n v="8"/>
    <n v="6"/>
    <n v="2"/>
    <n v="0"/>
    <x v="5"/>
    <n v="7"/>
    <n v="0"/>
    <n v="0"/>
    <n v="8"/>
    <n v="7"/>
    <n v="1"/>
    <n v="0"/>
  </r>
  <r>
    <x v="91"/>
    <x v="0"/>
    <s v="BAL"/>
    <s v="W 7-5"/>
    <n v="33"/>
    <n v="7"/>
    <n v="10"/>
    <n v="3"/>
    <n v="4"/>
    <n v="0"/>
    <x v="2"/>
    <n v="7"/>
    <n v="0"/>
    <n v="0"/>
    <n v="2"/>
    <n v="14"/>
    <n v="1"/>
    <n v="0"/>
  </r>
  <r>
    <x v="92"/>
    <x v="0"/>
    <s v="BAL"/>
    <s v="L 4-6 (11)"/>
    <n v="38"/>
    <n v="4"/>
    <n v="10"/>
    <n v="7"/>
    <n v="2"/>
    <n v="0"/>
    <x v="1"/>
    <n v="2"/>
    <n v="1"/>
    <n v="1"/>
    <n v="4"/>
    <n v="8"/>
    <n v="2"/>
    <n v="0"/>
  </r>
  <r>
    <x v="93"/>
    <x v="0"/>
    <s v="BAL"/>
    <s v="W 5-4"/>
    <n v="32"/>
    <n v="5"/>
    <n v="8"/>
    <n v="2"/>
    <n v="5"/>
    <n v="0"/>
    <x v="1"/>
    <n v="5"/>
    <n v="0"/>
    <n v="0"/>
    <n v="2"/>
    <n v="8"/>
    <n v="0"/>
    <n v="0"/>
  </r>
  <r>
    <x v="94"/>
    <x v="0"/>
    <s v="BOS"/>
    <s v="W 5-4"/>
    <n v="31"/>
    <n v="5"/>
    <n v="9"/>
    <n v="4"/>
    <n v="5"/>
    <n v="0"/>
    <x v="5"/>
    <n v="5"/>
    <n v="0"/>
    <n v="0"/>
    <n v="0"/>
    <n v="9"/>
    <n v="1"/>
    <n v="0"/>
  </r>
  <r>
    <x v="95"/>
    <x v="0"/>
    <s v="BOS"/>
    <s v="W 4-1"/>
    <n v="29"/>
    <n v="4"/>
    <n v="5"/>
    <n v="4"/>
    <n v="0"/>
    <n v="0"/>
    <x v="1"/>
    <n v="4"/>
    <n v="0"/>
    <n v="0"/>
    <n v="5"/>
    <n v="6"/>
    <n v="0"/>
    <n v="0"/>
  </r>
  <r>
    <x v="96"/>
    <x v="0"/>
    <s v="BOS"/>
    <s v="W 3-2"/>
    <n v="30"/>
    <n v="3"/>
    <n v="6"/>
    <n v="5"/>
    <n v="1"/>
    <n v="0"/>
    <x v="5"/>
    <n v="1"/>
    <n v="0"/>
    <n v="0"/>
    <n v="3"/>
    <n v="9"/>
    <n v="0"/>
    <n v="0"/>
  </r>
  <r>
    <x v="97"/>
    <x v="0"/>
    <s v="BOS"/>
    <s v="W 10-5"/>
    <n v="35"/>
    <n v="10"/>
    <n v="14"/>
    <n v="11"/>
    <n v="3"/>
    <n v="0"/>
    <x v="5"/>
    <n v="10"/>
    <n v="0"/>
    <n v="1"/>
    <n v="3"/>
    <n v="7"/>
    <n v="2"/>
    <n v="0"/>
  </r>
  <r>
    <x v="98"/>
    <x v="1"/>
    <s v="CIN"/>
    <s v="L 5-10"/>
    <n v="38"/>
    <n v="5"/>
    <n v="12"/>
    <n v="7"/>
    <n v="2"/>
    <n v="0"/>
    <x v="2"/>
    <n v="5"/>
    <n v="0"/>
    <n v="0"/>
    <n v="1"/>
    <n v="14"/>
    <n v="2"/>
    <n v="0"/>
  </r>
  <r>
    <x v="99"/>
    <x v="1"/>
    <s v="CIN"/>
    <s v="L 4-5 (10)"/>
    <n v="35"/>
    <n v="4"/>
    <n v="8"/>
    <n v="5"/>
    <n v="3"/>
    <n v="0"/>
    <x v="5"/>
    <n v="4"/>
    <n v="1"/>
    <n v="0"/>
    <n v="7"/>
    <n v="10"/>
    <n v="0"/>
    <n v="0"/>
  </r>
  <r>
    <x v="100"/>
    <x v="1"/>
    <s v="CIN"/>
    <s v="L 1-2 (10)"/>
    <n v="34"/>
    <n v="1"/>
    <n v="5"/>
    <n v="4"/>
    <n v="1"/>
    <n v="0"/>
    <x v="5"/>
    <n v="1"/>
    <n v="1"/>
    <n v="0"/>
    <n v="4"/>
    <n v="11"/>
    <n v="0"/>
    <n v="0"/>
  </r>
  <r>
    <x v="101"/>
    <x v="1"/>
    <s v="BOS"/>
    <s v="W 7-1"/>
    <n v="36"/>
    <n v="7"/>
    <n v="10"/>
    <n v="4"/>
    <n v="5"/>
    <n v="0"/>
    <x v="1"/>
    <n v="7"/>
    <n v="0"/>
    <n v="1"/>
    <n v="9"/>
    <n v="7"/>
    <n v="0"/>
    <n v="0"/>
  </r>
  <r>
    <x v="102"/>
    <x v="1"/>
    <s v="BOS"/>
    <s v="W 8-4"/>
    <n v="34"/>
    <n v="8"/>
    <n v="11"/>
    <n v="7"/>
    <n v="4"/>
    <n v="0"/>
    <x v="5"/>
    <n v="8"/>
    <n v="1"/>
    <n v="1"/>
    <n v="6"/>
    <n v="8"/>
    <n v="1"/>
    <n v="0"/>
  </r>
  <r>
    <x v="103"/>
    <x v="1"/>
    <s v="BOS"/>
    <s v="L 0-4"/>
    <n v="30"/>
    <n v="0"/>
    <n v="2"/>
    <n v="2"/>
    <n v="0"/>
    <n v="0"/>
    <x v="5"/>
    <n v="0"/>
    <n v="0"/>
    <n v="0"/>
    <n v="2"/>
    <n v="11"/>
    <n v="0"/>
    <n v="0"/>
  </r>
  <r>
    <x v="104"/>
    <x v="1"/>
    <s v="TOR"/>
    <s v="W 7-3"/>
    <n v="39"/>
    <n v="7"/>
    <n v="14"/>
    <n v="9"/>
    <n v="2"/>
    <n v="0"/>
    <x v="2"/>
    <n v="6"/>
    <n v="0"/>
    <n v="1"/>
    <n v="4"/>
    <n v="7"/>
    <n v="0"/>
    <n v="0"/>
  </r>
  <r>
    <x v="105"/>
    <x v="1"/>
    <s v="TOR"/>
    <s v="W 11-5"/>
    <n v="38"/>
    <n v="11"/>
    <n v="14"/>
    <n v="7"/>
    <n v="4"/>
    <n v="0"/>
    <x v="2"/>
    <n v="9"/>
    <n v="0"/>
    <n v="0"/>
    <n v="3"/>
    <n v="11"/>
    <n v="1"/>
    <n v="0"/>
  </r>
  <r>
    <x v="105"/>
    <x v="1"/>
    <s v="TOR"/>
    <s v="W 6-2"/>
    <n v="40"/>
    <n v="6"/>
    <n v="13"/>
    <n v="10"/>
    <n v="1"/>
    <n v="0"/>
    <x v="0"/>
    <n v="6"/>
    <n v="2"/>
    <n v="0"/>
    <n v="2"/>
    <n v="10"/>
    <n v="0"/>
    <n v="0"/>
  </r>
  <r>
    <x v="106"/>
    <x v="1"/>
    <s v="TOR"/>
    <s v="L 2-9"/>
    <n v="36"/>
    <n v="2"/>
    <n v="9"/>
    <n v="7"/>
    <n v="2"/>
    <n v="0"/>
    <x v="5"/>
    <n v="2"/>
    <n v="0"/>
    <n v="0"/>
    <n v="3"/>
    <n v="7"/>
    <n v="1"/>
    <n v="0"/>
  </r>
  <r>
    <x v="107"/>
    <x v="1"/>
    <s v="TOR"/>
    <s v="L 1-4"/>
    <n v="31"/>
    <n v="1"/>
    <n v="5"/>
    <n v="4"/>
    <n v="0"/>
    <n v="0"/>
    <x v="1"/>
    <n v="1"/>
    <n v="1"/>
    <n v="0"/>
    <n v="2"/>
    <n v="11"/>
    <n v="0"/>
    <n v="0"/>
  </r>
  <r>
    <x v="108"/>
    <x v="0"/>
    <s v="MIL"/>
    <s v="L 3-5"/>
    <n v="33"/>
    <n v="3"/>
    <n v="7"/>
    <n v="4"/>
    <n v="3"/>
    <n v="0"/>
    <x v="5"/>
    <n v="3"/>
    <n v="3"/>
    <n v="0"/>
    <n v="6"/>
    <n v="9"/>
    <n v="0"/>
    <n v="0"/>
  </r>
  <r>
    <x v="109"/>
    <x v="0"/>
    <s v="MIL"/>
    <s v="L 3-5"/>
    <n v="32"/>
    <n v="3"/>
    <n v="5"/>
    <n v="4"/>
    <n v="1"/>
    <n v="0"/>
    <x v="5"/>
    <n v="3"/>
    <n v="2"/>
    <n v="0"/>
    <n v="3"/>
    <n v="14"/>
    <n v="0"/>
    <n v="0"/>
  </r>
  <r>
    <x v="110"/>
    <x v="0"/>
    <s v="PIT"/>
    <s v="W 4-2"/>
    <n v="33"/>
    <n v="4"/>
    <n v="10"/>
    <n v="6"/>
    <n v="4"/>
    <n v="0"/>
    <x v="5"/>
    <n v="4"/>
    <n v="1"/>
    <n v="0"/>
    <n v="6"/>
    <n v="8"/>
    <n v="0"/>
    <n v="1"/>
  </r>
  <r>
    <x v="111"/>
    <x v="0"/>
    <s v="PIT"/>
    <s v="W 6-5"/>
    <n v="39"/>
    <n v="6"/>
    <n v="14"/>
    <n v="10"/>
    <n v="3"/>
    <n v="0"/>
    <x v="1"/>
    <n v="6"/>
    <n v="0"/>
    <n v="1"/>
    <n v="3"/>
    <n v="11"/>
    <n v="1"/>
    <n v="0"/>
  </r>
  <r>
    <x v="112"/>
    <x v="0"/>
    <s v="PIT"/>
    <s v="W 4-3 (10)"/>
    <n v="35"/>
    <n v="4"/>
    <n v="7"/>
    <n v="7"/>
    <n v="0"/>
    <n v="0"/>
    <x v="5"/>
    <n v="3"/>
    <n v="2"/>
    <n v="0"/>
    <n v="1"/>
    <n v="10"/>
    <n v="0"/>
    <n v="0"/>
  </r>
  <r>
    <x v="113"/>
    <x v="0"/>
    <s v="NYY"/>
    <s v="L 4-5"/>
    <n v="34"/>
    <n v="4"/>
    <n v="10"/>
    <n v="6"/>
    <n v="2"/>
    <n v="0"/>
    <x v="0"/>
    <n v="4"/>
    <n v="0"/>
    <n v="0"/>
    <n v="3"/>
    <n v="5"/>
    <n v="0"/>
    <n v="1"/>
  </r>
  <r>
    <x v="114"/>
    <x v="0"/>
    <s v="NYY"/>
    <s v="W 5-4"/>
    <n v="32"/>
    <n v="5"/>
    <n v="8"/>
    <n v="2"/>
    <n v="2"/>
    <n v="0"/>
    <x v="3"/>
    <n v="5"/>
    <n v="0"/>
    <n v="0"/>
    <n v="0"/>
    <n v="5"/>
    <n v="1"/>
    <n v="0"/>
  </r>
  <r>
    <x v="115"/>
    <x v="0"/>
    <s v="NYY"/>
    <s v="L 2-4"/>
    <n v="31"/>
    <n v="2"/>
    <n v="3"/>
    <n v="2"/>
    <n v="1"/>
    <n v="0"/>
    <x v="5"/>
    <n v="2"/>
    <n v="0"/>
    <n v="0"/>
    <n v="5"/>
    <n v="14"/>
    <n v="0"/>
    <n v="0"/>
  </r>
  <r>
    <x v="116"/>
    <x v="1"/>
    <s v="BAL"/>
    <s v="L 1-2"/>
    <n v="35"/>
    <n v="1"/>
    <n v="9"/>
    <n v="7"/>
    <n v="1"/>
    <n v="1"/>
    <x v="5"/>
    <n v="1"/>
    <n v="0"/>
    <n v="0"/>
    <n v="3"/>
    <n v="9"/>
    <n v="0"/>
    <n v="0"/>
  </r>
  <r>
    <x v="117"/>
    <x v="1"/>
    <s v="BAL"/>
    <s v="W 7-6"/>
    <n v="39"/>
    <n v="7"/>
    <n v="14"/>
    <n v="9"/>
    <n v="4"/>
    <n v="0"/>
    <x v="1"/>
    <n v="7"/>
    <n v="0"/>
    <n v="0"/>
    <n v="2"/>
    <n v="9"/>
    <n v="1"/>
    <n v="0"/>
  </r>
  <r>
    <x v="118"/>
    <x v="1"/>
    <s v="BAL"/>
    <s v="L 0-1"/>
    <n v="32"/>
    <n v="0"/>
    <n v="8"/>
    <n v="8"/>
    <n v="0"/>
    <n v="0"/>
    <x v="5"/>
    <n v="0"/>
    <n v="0"/>
    <n v="1"/>
    <n v="1"/>
    <n v="13"/>
    <n v="0"/>
    <n v="0"/>
  </r>
  <r>
    <x v="119"/>
    <x v="1"/>
    <s v="NYY"/>
    <s v="L 1-2"/>
    <n v="29"/>
    <n v="1"/>
    <n v="3"/>
    <n v="2"/>
    <n v="0"/>
    <n v="0"/>
    <x v="1"/>
    <n v="1"/>
    <n v="0"/>
    <n v="1"/>
    <n v="2"/>
    <n v="9"/>
    <n v="0"/>
    <n v="0"/>
  </r>
  <r>
    <x v="120"/>
    <x v="1"/>
    <s v="NYY"/>
    <s v="L 3-4"/>
    <n v="34"/>
    <n v="3"/>
    <n v="7"/>
    <n v="3"/>
    <n v="4"/>
    <n v="0"/>
    <x v="5"/>
    <n v="3"/>
    <n v="0"/>
    <n v="0"/>
    <n v="3"/>
    <n v="8"/>
    <n v="1"/>
    <n v="0"/>
  </r>
  <r>
    <x v="121"/>
    <x v="1"/>
    <s v="NYY"/>
    <s v="L 0-2"/>
    <n v="33"/>
    <n v="0"/>
    <n v="7"/>
    <n v="7"/>
    <n v="0"/>
    <n v="0"/>
    <x v="5"/>
    <n v="0"/>
    <n v="0"/>
    <n v="0"/>
    <n v="2"/>
    <n v="11"/>
    <n v="0"/>
    <n v="0"/>
  </r>
  <r>
    <x v="122"/>
    <x v="1"/>
    <s v="MIN"/>
    <s v="W 6-0"/>
    <n v="35"/>
    <n v="6"/>
    <n v="7"/>
    <n v="3"/>
    <n v="3"/>
    <n v="0"/>
    <x v="1"/>
    <n v="6"/>
    <n v="3"/>
    <n v="0"/>
    <n v="3"/>
    <n v="8"/>
    <n v="2"/>
    <n v="0"/>
  </r>
  <r>
    <x v="123"/>
    <x v="1"/>
    <s v="MIN"/>
    <s v="L 5-6"/>
    <n v="38"/>
    <n v="5"/>
    <n v="13"/>
    <n v="11"/>
    <n v="2"/>
    <n v="0"/>
    <x v="5"/>
    <n v="4"/>
    <n v="1"/>
    <n v="2"/>
    <n v="0"/>
    <n v="10"/>
    <n v="0"/>
    <n v="0"/>
  </r>
  <r>
    <x v="124"/>
    <x v="1"/>
    <s v="MIN"/>
    <s v="L 4-9"/>
    <n v="32"/>
    <n v="4"/>
    <n v="6"/>
    <n v="3"/>
    <n v="0"/>
    <n v="0"/>
    <x v="2"/>
    <n v="4"/>
    <n v="0"/>
    <n v="0"/>
    <n v="3"/>
    <n v="8"/>
    <n v="0"/>
    <n v="0"/>
  </r>
  <r>
    <x v="125"/>
    <x v="0"/>
    <s v="STL"/>
    <s v="W 2-1"/>
    <n v="26"/>
    <n v="2"/>
    <n v="3"/>
    <n v="2"/>
    <n v="0"/>
    <n v="0"/>
    <x v="1"/>
    <n v="2"/>
    <n v="0"/>
    <n v="0"/>
    <n v="0"/>
    <n v="9"/>
    <n v="0"/>
    <n v="0"/>
  </r>
  <r>
    <x v="126"/>
    <x v="0"/>
    <s v="STL"/>
    <s v="W 11-3"/>
    <n v="43"/>
    <n v="11"/>
    <n v="18"/>
    <n v="11"/>
    <n v="7"/>
    <n v="0"/>
    <x v="5"/>
    <n v="11"/>
    <n v="1"/>
    <n v="0"/>
    <n v="4"/>
    <n v="7"/>
    <n v="0"/>
    <n v="0"/>
  </r>
  <r>
    <x v="127"/>
    <x v="0"/>
    <s v="STL"/>
    <s v="W 4-2 (10)"/>
    <n v="31"/>
    <n v="4"/>
    <n v="3"/>
    <n v="0"/>
    <n v="2"/>
    <n v="0"/>
    <x v="1"/>
    <n v="4"/>
    <n v="0"/>
    <n v="0"/>
    <n v="3"/>
    <n v="7"/>
    <n v="0"/>
    <n v="0"/>
  </r>
  <r>
    <x v="128"/>
    <x v="0"/>
    <s v="CHW"/>
    <s v="L 5-6"/>
    <n v="33"/>
    <n v="5"/>
    <n v="9"/>
    <n v="5"/>
    <n v="1"/>
    <n v="1"/>
    <x v="0"/>
    <n v="5"/>
    <n v="0"/>
    <n v="1"/>
    <n v="2"/>
    <n v="8"/>
    <n v="0"/>
    <n v="0"/>
  </r>
  <r>
    <x v="129"/>
    <x v="0"/>
    <s v="CHW"/>
    <s v="L 2-3"/>
    <n v="30"/>
    <n v="2"/>
    <n v="4"/>
    <n v="4"/>
    <n v="0"/>
    <n v="0"/>
    <x v="5"/>
    <n v="1"/>
    <n v="2"/>
    <n v="1"/>
    <n v="8"/>
    <n v="11"/>
    <n v="0"/>
    <n v="0"/>
  </r>
  <r>
    <x v="130"/>
    <x v="0"/>
    <s v="CHW"/>
    <s v="W 6-3"/>
    <n v="30"/>
    <n v="6"/>
    <n v="8"/>
    <n v="5"/>
    <n v="2"/>
    <n v="0"/>
    <x v="1"/>
    <n v="6"/>
    <n v="2"/>
    <n v="1"/>
    <n v="4"/>
    <n v="2"/>
    <n v="0"/>
    <n v="0"/>
  </r>
  <r>
    <x v="131"/>
    <x v="1"/>
    <s v="TEX"/>
    <s v="W 3-1"/>
    <n v="33"/>
    <n v="3"/>
    <n v="9"/>
    <n v="7"/>
    <n v="2"/>
    <n v="0"/>
    <x v="5"/>
    <n v="3"/>
    <n v="1"/>
    <n v="0"/>
    <n v="7"/>
    <n v="4"/>
    <n v="0"/>
    <n v="0"/>
  </r>
  <r>
    <x v="132"/>
    <x v="1"/>
    <s v="TEX"/>
    <s v="W 4-3 (11)"/>
    <n v="37"/>
    <n v="4"/>
    <n v="6"/>
    <n v="3"/>
    <n v="2"/>
    <n v="0"/>
    <x v="1"/>
    <n v="4"/>
    <n v="0"/>
    <n v="0"/>
    <n v="3"/>
    <n v="15"/>
    <n v="1"/>
    <n v="0"/>
  </r>
  <r>
    <x v="133"/>
    <x v="1"/>
    <s v="TEX"/>
    <s v="L 0-3"/>
    <n v="30"/>
    <n v="0"/>
    <n v="3"/>
    <n v="3"/>
    <n v="0"/>
    <n v="0"/>
    <x v="5"/>
    <n v="0"/>
    <n v="0"/>
    <n v="0"/>
    <n v="0"/>
    <n v="6"/>
    <n v="0"/>
    <n v="0"/>
  </r>
  <r>
    <x v="134"/>
    <x v="1"/>
    <s v="TEX"/>
    <s v="L 5-9"/>
    <n v="35"/>
    <n v="5"/>
    <n v="10"/>
    <n v="8"/>
    <n v="2"/>
    <n v="0"/>
    <x v="5"/>
    <n v="5"/>
    <n v="0"/>
    <n v="0"/>
    <n v="4"/>
    <n v="8"/>
    <n v="1"/>
    <n v="0"/>
  </r>
  <r>
    <x v="135"/>
    <x v="0"/>
    <s v="NYY"/>
    <s v="W 4-2"/>
    <n v="26"/>
    <n v="4"/>
    <n v="2"/>
    <n v="0"/>
    <n v="0"/>
    <n v="0"/>
    <x v="0"/>
    <n v="4"/>
    <n v="0"/>
    <n v="0"/>
    <n v="4"/>
    <n v="9"/>
    <n v="1"/>
    <n v="0"/>
  </r>
  <r>
    <x v="136"/>
    <x v="0"/>
    <s v="NYY"/>
    <s v="W 3-1"/>
    <n v="30"/>
    <n v="3"/>
    <n v="7"/>
    <n v="5"/>
    <n v="1"/>
    <n v="1"/>
    <x v="5"/>
    <n v="3"/>
    <n v="0"/>
    <n v="0"/>
    <n v="3"/>
    <n v="10"/>
    <n v="0"/>
    <n v="0"/>
  </r>
  <r>
    <x v="137"/>
    <x v="0"/>
    <s v="NYY"/>
    <s v="L 0-2"/>
    <n v="28"/>
    <n v="0"/>
    <n v="2"/>
    <n v="1"/>
    <n v="1"/>
    <n v="0"/>
    <x v="5"/>
    <n v="0"/>
    <n v="0"/>
    <n v="1"/>
    <n v="0"/>
    <n v="7"/>
    <n v="0"/>
    <n v="0"/>
  </r>
  <r>
    <x v="138"/>
    <x v="0"/>
    <s v="NYY"/>
    <s v="L 2-7"/>
    <n v="33"/>
    <n v="2"/>
    <n v="6"/>
    <n v="5"/>
    <n v="1"/>
    <n v="0"/>
    <x v="5"/>
    <n v="2"/>
    <n v="0"/>
    <n v="0"/>
    <n v="1"/>
    <n v="6"/>
    <n v="0"/>
    <n v="0"/>
  </r>
  <r>
    <x v="139"/>
    <x v="0"/>
    <s v="MIA"/>
    <s v="W 5-4"/>
    <n v="29"/>
    <n v="5"/>
    <n v="6"/>
    <n v="2"/>
    <n v="3"/>
    <n v="0"/>
    <x v="1"/>
    <n v="5"/>
    <n v="0"/>
    <n v="0"/>
    <n v="4"/>
    <n v="9"/>
    <n v="0"/>
    <n v="0"/>
  </r>
  <r>
    <x v="140"/>
    <x v="0"/>
    <s v="MIA"/>
    <s v="W 4-0"/>
    <n v="33"/>
    <n v="4"/>
    <n v="10"/>
    <n v="4"/>
    <n v="3"/>
    <n v="0"/>
    <x v="2"/>
    <n v="4"/>
    <n v="0"/>
    <n v="0"/>
    <n v="1"/>
    <n v="9"/>
    <n v="0"/>
    <n v="0"/>
  </r>
  <r>
    <x v="141"/>
    <x v="1"/>
    <s v="BAL"/>
    <s v="L 6-7 (11)"/>
    <n v="46"/>
    <n v="6"/>
    <n v="12"/>
    <n v="8"/>
    <n v="3"/>
    <n v="0"/>
    <x v="1"/>
    <n v="6"/>
    <n v="3"/>
    <n v="0"/>
    <n v="3"/>
    <n v="12"/>
    <n v="0"/>
    <n v="1"/>
  </r>
  <r>
    <x v="142"/>
    <x v="1"/>
    <s v="BAL"/>
    <s v="W 6-1"/>
    <n v="33"/>
    <n v="6"/>
    <n v="9"/>
    <n v="6"/>
    <n v="0"/>
    <n v="0"/>
    <x v="2"/>
    <n v="6"/>
    <n v="0"/>
    <n v="0"/>
    <n v="2"/>
    <n v="7"/>
    <n v="0"/>
    <n v="0"/>
  </r>
  <r>
    <x v="143"/>
    <x v="1"/>
    <s v="BAL"/>
    <s v="L 6-8 (13)"/>
    <n v="48"/>
    <n v="6"/>
    <n v="10"/>
    <n v="7"/>
    <n v="2"/>
    <n v="0"/>
    <x v="1"/>
    <n v="6"/>
    <n v="0"/>
    <n v="0"/>
    <n v="3"/>
    <n v="9"/>
    <n v="0"/>
    <n v="1"/>
  </r>
  <r>
    <x v="144"/>
    <x v="0"/>
    <s v="DET"/>
    <s v="W 6-1"/>
    <n v="32"/>
    <n v="6"/>
    <n v="11"/>
    <n v="9"/>
    <n v="0"/>
    <n v="0"/>
    <x v="0"/>
    <n v="6"/>
    <n v="2"/>
    <n v="1"/>
    <n v="3"/>
    <n v="9"/>
    <n v="0"/>
    <n v="0"/>
  </r>
  <r>
    <x v="145"/>
    <x v="0"/>
    <s v="DET"/>
    <s v="W 8-1"/>
    <n v="33"/>
    <n v="8"/>
    <n v="11"/>
    <n v="7"/>
    <n v="1"/>
    <n v="0"/>
    <x v="2"/>
    <n v="8"/>
    <n v="0"/>
    <n v="0"/>
    <n v="2"/>
    <n v="4"/>
    <n v="0"/>
    <n v="0"/>
  </r>
  <r>
    <x v="146"/>
    <x v="0"/>
    <s v="DET"/>
    <s v="L 2-3"/>
    <n v="31"/>
    <n v="2"/>
    <n v="7"/>
    <n v="4"/>
    <n v="2"/>
    <n v="0"/>
    <x v="1"/>
    <n v="2"/>
    <n v="0"/>
    <n v="1"/>
    <n v="2"/>
    <n v="6"/>
    <n v="0"/>
    <n v="0"/>
  </r>
  <r>
    <x v="147"/>
    <x v="0"/>
    <s v="TOR"/>
    <s v="W 3-0"/>
    <n v="31"/>
    <n v="3"/>
    <n v="6"/>
    <n v="5"/>
    <n v="1"/>
    <n v="0"/>
    <x v="5"/>
    <n v="1"/>
    <n v="1"/>
    <n v="1"/>
    <n v="0"/>
    <n v="8"/>
    <n v="1"/>
    <n v="0"/>
  </r>
  <r>
    <x v="148"/>
    <x v="0"/>
    <s v="TOR"/>
    <s v="L 1-5"/>
    <n v="32"/>
    <n v="1"/>
    <n v="6"/>
    <n v="4"/>
    <n v="1"/>
    <n v="0"/>
    <x v="1"/>
    <n v="1"/>
    <n v="0"/>
    <n v="0"/>
    <n v="2"/>
    <n v="7"/>
    <n v="1"/>
    <n v="0"/>
  </r>
  <r>
    <x v="149"/>
    <x v="0"/>
    <s v="TOR"/>
    <s v="W 5-2"/>
    <n v="31"/>
    <n v="5"/>
    <n v="7"/>
    <n v="4"/>
    <n v="1"/>
    <n v="2"/>
    <x v="5"/>
    <n v="5"/>
    <n v="1"/>
    <n v="0"/>
    <n v="2"/>
    <n v="9"/>
    <n v="0"/>
    <n v="0"/>
  </r>
  <r>
    <x v="150"/>
    <x v="1"/>
    <s v="LAA"/>
    <s v="W 4-2 (10)"/>
    <n v="34"/>
    <n v="4"/>
    <n v="5"/>
    <n v="3"/>
    <n v="1"/>
    <n v="0"/>
    <x v="1"/>
    <n v="4"/>
    <n v="3"/>
    <n v="0"/>
    <n v="3"/>
    <n v="10"/>
    <n v="0"/>
    <n v="0"/>
  </r>
  <r>
    <x v="151"/>
    <x v="1"/>
    <s v="LAA"/>
    <s v="L 0-12"/>
    <n v="27"/>
    <n v="0"/>
    <n v="0"/>
    <n v="0"/>
    <n v="0"/>
    <n v="0"/>
    <x v="5"/>
    <n v="0"/>
    <n v="0"/>
    <n v="0"/>
    <n v="1"/>
    <n v="2"/>
    <n v="0"/>
    <n v="0"/>
  </r>
  <r>
    <x v="152"/>
    <x v="1"/>
    <s v="LAA"/>
    <s v="L 3-11"/>
    <n v="38"/>
    <n v="3"/>
    <n v="10"/>
    <n v="7"/>
    <n v="2"/>
    <n v="0"/>
    <x v="1"/>
    <n v="2"/>
    <n v="3"/>
    <n v="0"/>
    <n v="2"/>
    <n v="13"/>
    <n v="0"/>
    <n v="0"/>
  </r>
  <r>
    <x v="153"/>
    <x v="1"/>
    <s v="SEA"/>
    <s v="L 1-2 (10)"/>
    <n v="33"/>
    <n v="1"/>
    <n v="5"/>
    <n v="4"/>
    <n v="0"/>
    <n v="0"/>
    <x v="1"/>
    <n v="1"/>
    <n v="1"/>
    <n v="2"/>
    <n v="2"/>
    <n v="14"/>
    <n v="0"/>
    <n v="1"/>
  </r>
  <r>
    <x v="154"/>
    <x v="1"/>
    <s v="SEA"/>
    <s v="W 8-2"/>
    <n v="35"/>
    <n v="8"/>
    <n v="10"/>
    <n v="6"/>
    <n v="1"/>
    <n v="0"/>
    <x v="2"/>
    <n v="7"/>
    <n v="1"/>
    <n v="0"/>
    <n v="6"/>
    <n v="5"/>
    <n v="0"/>
    <n v="0"/>
  </r>
  <r>
    <x v="155"/>
    <x v="1"/>
    <s v="SEA"/>
    <s v="W 8-7"/>
    <n v="38"/>
    <n v="8"/>
    <n v="13"/>
    <n v="10"/>
    <n v="2"/>
    <n v="0"/>
    <x v="1"/>
    <n v="7"/>
    <n v="0"/>
    <n v="1"/>
    <n v="4"/>
    <n v="10"/>
    <n v="1"/>
    <n v="0"/>
  </r>
  <r>
    <x v="156"/>
    <x v="1"/>
    <s v="SEA"/>
    <s v="W 4-3"/>
    <n v="34"/>
    <n v="4"/>
    <n v="7"/>
    <n v="6"/>
    <n v="0"/>
    <n v="0"/>
    <x v="1"/>
    <n v="4"/>
    <n v="2"/>
    <n v="0"/>
    <n v="1"/>
    <n v="8"/>
    <n v="0"/>
    <n v="0"/>
  </r>
  <r>
    <x v="157"/>
    <x v="1"/>
    <s v="OAK"/>
    <s v="W 3-0"/>
    <n v="33"/>
    <n v="3"/>
    <n v="6"/>
    <n v="4"/>
    <n v="2"/>
    <n v="0"/>
    <x v="5"/>
    <n v="2"/>
    <n v="1"/>
    <n v="0"/>
    <n v="3"/>
    <n v="7"/>
    <n v="2"/>
    <n v="0"/>
  </r>
  <r>
    <x v="158"/>
    <x v="1"/>
    <s v="OAK"/>
    <s v="W 10-7 (10)"/>
    <n v="42"/>
    <n v="10"/>
    <n v="14"/>
    <n v="6"/>
    <n v="4"/>
    <n v="2"/>
    <x v="0"/>
    <n v="10"/>
    <n v="0"/>
    <n v="1"/>
    <n v="3"/>
    <n v="8"/>
    <n v="0"/>
    <n v="1"/>
  </r>
  <r>
    <x v="159"/>
    <x v="1"/>
    <s v="OAK"/>
    <s v="W 6-1"/>
    <n v="39"/>
    <n v="6"/>
    <n v="12"/>
    <n v="9"/>
    <n v="2"/>
    <n v="0"/>
    <x v="1"/>
    <n v="5"/>
    <n v="0"/>
    <n v="0"/>
    <n v="0"/>
    <n v="8"/>
    <n v="0"/>
    <n v="0"/>
  </r>
  <r>
    <x v="160"/>
    <x v="0"/>
    <s v="MIN"/>
    <s v="L 3-9"/>
    <n v="34"/>
    <n v="3"/>
    <n v="8"/>
    <n v="3"/>
    <n v="5"/>
    <n v="0"/>
    <x v="5"/>
    <n v="3"/>
    <n v="0"/>
    <n v="0"/>
    <n v="1"/>
    <n v="10"/>
    <n v="0"/>
    <n v="0"/>
  </r>
  <r>
    <x v="161"/>
    <x v="0"/>
    <s v="MIN"/>
    <s v="L 1-9"/>
    <n v="31"/>
    <n v="1"/>
    <n v="4"/>
    <n v="2"/>
    <n v="1"/>
    <n v="0"/>
    <x v="1"/>
    <n v="1"/>
    <n v="0"/>
    <n v="0"/>
    <n v="3"/>
    <n v="11"/>
    <n v="0"/>
    <n v="0"/>
  </r>
  <r>
    <x v="162"/>
    <x v="0"/>
    <s v="MIN"/>
    <s v="W 6-1"/>
    <n v="31"/>
    <n v="6"/>
    <n v="8"/>
    <n v="4"/>
    <n v="2"/>
    <n v="0"/>
    <x v="0"/>
    <n v="6"/>
    <n v="4"/>
    <n v="0"/>
    <n v="3"/>
    <n v="9"/>
    <n v="0"/>
    <n v="0"/>
  </r>
  <r>
    <x v="163"/>
    <x v="0"/>
    <s v="SEA"/>
    <s v="W 2-1"/>
    <n v="27"/>
    <n v="2"/>
    <n v="7"/>
    <n v="7"/>
    <n v="0"/>
    <n v="0"/>
    <x v="5"/>
    <n v="2"/>
    <n v="2"/>
    <n v="1"/>
    <n v="5"/>
    <n v="5"/>
    <n v="0"/>
    <n v="0"/>
  </r>
  <r>
    <x v="164"/>
    <x v="0"/>
    <s v="SEA"/>
    <s v="W 3-2"/>
    <n v="30"/>
    <n v="3"/>
    <n v="7"/>
    <n v="6"/>
    <n v="0"/>
    <n v="0"/>
    <x v="1"/>
    <n v="3"/>
    <n v="1"/>
    <n v="0"/>
    <n v="3"/>
    <n v="7"/>
    <n v="1"/>
    <n v="0"/>
  </r>
  <r>
    <x v="165"/>
    <x v="0"/>
    <s v="SEA"/>
    <s v="L 4-8"/>
    <n v="35"/>
    <n v="4"/>
    <n v="9"/>
    <n v="7"/>
    <n v="0"/>
    <n v="0"/>
    <x v="0"/>
    <n v="4"/>
    <n v="0"/>
    <n v="0"/>
    <n v="5"/>
    <n v="12"/>
    <n v="0"/>
    <n v="0"/>
  </r>
  <r>
    <x v="166"/>
    <x v="0"/>
    <s v="BOS"/>
    <s v="W 5-2"/>
    <n v="30"/>
    <n v="5"/>
    <n v="9"/>
    <n v="6"/>
    <n v="2"/>
    <n v="0"/>
    <x v="1"/>
    <n v="4"/>
    <n v="0"/>
    <n v="1"/>
    <n v="4"/>
    <n v="3"/>
    <n v="3"/>
    <n v="0"/>
  </r>
  <r>
    <x v="167"/>
    <x v="0"/>
    <s v="BOS"/>
    <s v="W 3-2 (10)"/>
    <n v="32"/>
    <n v="3"/>
    <n v="3"/>
    <n v="1"/>
    <n v="1"/>
    <n v="0"/>
    <x v="1"/>
    <n v="2"/>
    <n v="1"/>
    <n v="0"/>
    <n v="2"/>
    <n v="14"/>
    <n v="0"/>
    <n v="0"/>
  </r>
  <r>
    <x v="168"/>
    <x v="0"/>
    <s v="BOS"/>
    <s v="L 3-4"/>
    <n v="33"/>
    <n v="3"/>
    <n v="6"/>
    <n v="4"/>
    <n v="0"/>
    <n v="0"/>
    <x v="0"/>
    <n v="3"/>
    <n v="0"/>
    <n v="0"/>
    <n v="5"/>
    <n v="7"/>
    <n v="0"/>
    <n v="0"/>
  </r>
  <r>
    <x v="169"/>
    <x v="1"/>
    <s v="CHC"/>
    <s v="W 8-2 (6)"/>
    <n v="28"/>
    <n v="8"/>
    <n v="9"/>
    <n v="2"/>
    <n v="5"/>
    <n v="1"/>
    <x v="1"/>
    <n v="7"/>
    <n v="2"/>
    <n v="0"/>
    <n v="2"/>
    <n v="10"/>
    <n v="0"/>
    <n v="0"/>
  </r>
  <r>
    <x v="170"/>
    <x v="1"/>
    <s v="CHC"/>
    <s v="W 6-5"/>
    <n v="35"/>
    <n v="6"/>
    <n v="10"/>
    <n v="5"/>
    <n v="3"/>
    <n v="1"/>
    <x v="1"/>
    <n v="6"/>
    <n v="0"/>
    <n v="0"/>
    <n v="4"/>
    <n v="6"/>
    <n v="0"/>
    <n v="0"/>
  </r>
  <r>
    <x v="171"/>
    <x v="1"/>
    <s v="CHC"/>
    <s v="L 2-4"/>
    <n v="31"/>
    <n v="2"/>
    <n v="6"/>
    <n v="6"/>
    <n v="0"/>
    <n v="0"/>
    <x v="5"/>
    <n v="2"/>
    <n v="2"/>
    <n v="1"/>
    <n v="4"/>
    <n v="12"/>
    <n v="0"/>
    <n v="0"/>
  </r>
  <r>
    <x v="172"/>
    <x v="1"/>
    <s v="CHW"/>
    <s v="W 9-3"/>
    <n v="39"/>
    <n v="9"/>
    <n v="12"/>
    <n v="8"/>
    <n v="4"/>
    <n v="0"/>
    <x v="5"/>
    <n v="8"/>
    <n v="0"/>
    <n v="0"/>
    <n v="5"/>
    <n v="8"/>
    <n v="1"/>
    <n v="0"/>
  </r>
  <r>
    <x v="173"/>
    <x v="1"/>
    <s v="CHW"/>
    <s v="L 2-3"/>
    <n v="30"/>
    <n v="2"/>
    <n v="5"/>
    <n v="4"/>
    <n v="1"/>
    <n v="0"/>
    <x v="5"/>
    <n v="2"/>
    <n v="2"/>
    <n v="0"/>
    <n v="4"/>
    <n v="12"/>
    <n v="1"/>
    <n v="1"/>
  </r>
  <r>
    <x v="174"/>
    <x v="1"/>
    <s v="CHW"/>
    <s v="L 2-3"/>
    <n v="32"/>
    <n v="2"/>
    <n v="6"/>
    <n v="4"/>
    <n v="2"/>
    <n v="0"/>
    <x v="5"/>
    <n v="2"/>
    <n v="1"/>
    <n v="0"/>
    <n v="2"/>
    <n v="13"/>
    <n v="0"/>
    <n v="0"/>
  </r>
  <r>
    <x v="175"/>
    <x v="0"/>
    <s v="OAK"/>
    <s v="L 3-6"/>
    <n v="33"/>
    <n v="3"/>
    <n v="7"/>
    <n v="4"/>
    <n v="2"/>
    <n v="0"/>
    <x v="1"/>
    <n v="3"/>
    <n v="0"/>
    <n v="0"/>
    <n v="0"/>
    <n v="4"/>
    <n v="0"/>
    <n v="0"/>
  </r>
  <r>
    <x v="176"/>
    <x v="0"/>
    <s v="OAK"/>
    <s v="L 2-4"/>
    <n v="36"/>
    <n v="2"/>
    <n v="8"/>
    <n v="7"/>
    <n v="0"/>
    <n v="0"/>
    <x v="1"/>
    <n v="2"/>
    <n v="0"/>
    <n v="0"/>
    <n v="2"/>
    <n v="8"/>
    <n v="0"/>
    <n v="0"/>
  </r>
  <r>
    <x v="177"/>
    <x v="0"/>
    <s v="OAK"/>
    <s v="W 9-8 (10)"/>
    <n v="43"/>
    <n v="9"/>
    <n v="13"/>
    <n v="4"/>
    <n v="5"/>
    <n v="1"/>
    <x v="2"/>
    <n v="9"/>
    <n v="0"/>
    <n v="0"/>
    <n v="8"/>
    <n v="11"/>
    <n v="0"/>
    <n v="1"/>
  </r>
  <r>
    <x v="178"/>
    <x v="0"/>
    <s v="OAK"/>
    <s v="L 2-13"/>
    <n v="35"/>
    <n v="2"/>
    <n v="8"/>
    <n v="7"/>
    <n v="1"/>
    <n v="0"/>
    <x v="5"/>
    <n v="2"/>
    <n v="0"/>
    <n v="0"/>
    <n v="1"/>
    <n v="13"/>
    <n v="0"/>
    <n v="0"/>
  </r>
  <r>
    <x v="179"/>
    <x v="0"/>
    <s v="BAL"/>
    <s v="W 8-0"/>
    <n v="32"/>
    <n v="8"/>
    <n v="11"/>
    <n v="7"/>
    <n v="3"/>
    <n v="0"/>
    <x v="1"/>
    <n v="8"/>
    <n v="1"/>
    <n v="1"/>
    <n v="5"/>
    <n v="8"/>
    <n v="0"/>
    <n v="0"/>
  </r>
  <r>
    <x v="180"/>
    <x v="0"/>
    <s v="BAL"/>
    <s v="W 5-3"/>
    <n v="29"/>
    <n v="5"/>
    <n v="8"/>
    <n v="5"/>
    <n v="1"/>
    <n v="1"/>
    <x v="1"/>
    <n v="5"/>
    <n v="0"/>
    <n v="0"/>
    <n v="3"/>
    <n v="5"/>
    <n v="0"/>
    <n v="0"/>
  </r>
  <r>
    <x v="181"/>
    <x v="0"/>
    <s v="BAL"/>
    <s v="W 2-1"/>
    <n v="30"/>
    <n v="2"/>
    <n v="8"/>
    <n v="8"/>
    <n v="0"/>
    <n v="0"/>
    <x v="5"/>
    <n v="2"/>
    <n v="0"/>
    <n v="0"/>
    <n v="3"/>
    <n v="9"/>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B10137-A249-4081-8465-7FE9BB30C948}" name="PivotTable6" cacheId="0" dataOnRows="1" applyNumberFormats="0" applyBorderFormats="0" applyFontFormats="0" applyPatternFormats="0" applyAlignmentFormats="0" applyWidthHeightFormats="1" dataCaption="Outcome" updatedVersion="8" minRefreshableVersion="5" itemPrintTitles="1" createdVersion="8" indent="0" outline="1" outlineData="1" multipleFieldFilters="0" chartFormat="4">
  <location ref="B2:C4" firstHeaderRow="1" firstDataRow="1" firstDataCol="1"/>
  <pivotFields count="25">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2"/>
  </rowFields>
  <rowItems count="2">
    <i>
      <x/>
    </i>
    <i i="1">
      <x v="1"/>
    </i>
  </rowItems>
  <colItems count="1">
    <i/>
  </colItems>
  <dataFields count="2">
    <dataField name="Stolen Bases" fld="12" baseField="0" baseItem="0"/>
    <dataField name="Caught Stealing" fld="13" baseField="0" baseItem="0"/>
  </dataFields>
  <formats count="5">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outline="0" fieldPosition="0">
        <references count="1">
          <reference field="4294967294" count="2">
            <x v="0"/>
            <x v="1"/>
          </reference>
        </references>
      </pivotArea>
    </format>
    <format dxfId="9">
      <pivotArea dataOnly="0" labelOnly="1" grandCol="1" outline="0" axis="axisCol" fieldPosition="0"/>
    </format>
  </formats>
  <chartFormats count="3">
    <chartFormat chart="1" format="0" series="1">
      <pivotArea type="data" outline="0" fieldPosition="0">
        <references count="1">
          <reference field="4294967294" count="1" selected="0">
            <x v="0"/>
          </reference>
        </references>
      </pivotArea>
    </chartFormat>
    <chartFormat chart="1" format="1">
      <pivotArea type="data" outline="0" fieldPosition="0">
        <references count="1">
          <reference field="4294967294" count="1" selected="0">
            <x v="0"/>
          </reference>
        </references>
      </pivotArea>
    </chartFormat>
    <chartFormat chart="1" format="2">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58"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BE36E7-41A5-4791-8753-807142D5EFCB}" name="PivotTable5"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 rowHeaderCaption="Splits">
  <location ref="B35:F38" firstHeaderRow="0" firstDataRow="1" firstDataCol="1"/>
  <pivotFields count="25">
    <pivotField showAll="0">
      <items count="15">
        <item x="0"/>
        <item x="1"/>
        <item x="2"/>
        <item x="3"/>
        <item x="4"/>
        <item x="5"/>
        <item x="6"/>
        <item x="7"/>
        <item x="8"/>
        <item x="9"/>
        <item x="10"/>
        <item x="11"/>
        <item x="12"/>
        <item x="13"/>
        <item t="default"/>
      </items>
    </pivotField>
    <pivotField axis="axisRow" showAll="0">
      <items count="3">
        <item n="Away" x="1"/>
        <item n="Home" x="0"/>
        <item t="default"/>
      </items>
    </pivotField>
    <pivotField showAll="0"/>
    <pivotField showAll="0"/>
    <pivotField showAll="0"/>
    <pivotField showAll="0"/>
    <pivotField showAll="0" avgSubtotal="1"/>
    <pivotField dataField="1" showAll="0"/>
    <pivotField dataField="1" showAll="0"/>
    <pivotField dataField="1" showAll="0"/>
    <pivotField dataField="1"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s>
  <rowFields count="1">
    <field x="1"/>
  </rowFields>
  <rowItems count="3">
    <i>
      <x/>
    </i>
    <i>
      <x v="1"/>
    </i>
    <i t="grand">
      <x/>
    </i>
  </rowItems>
  <colFields count="1">
    <field x="-2"/>
  </colFields>
  <colItems count="4">
    <i>
      <x/>
    </i>
    <i i="1">
      <x v="1"/>
    </i>
    <i i="2">
      <x v="2"/>
    </i>
    <i i="3">
      <x v="3"/>
    </i>
  </colItems>
  <dataFields count="4">
    <dataField name="Singles" fld="7" baseField="0" baseItem="0"/>
    <dataField name="Doubles" fld="8" baseField="0" baseItem="0"/>
    <dataField name="Triples" fld="9" baseField="0" baseItem="0"/>
    <dataField name="Home Runs" fld="10" baseField="0" baseItem="0"/>
  </dataFields>
  <formats count="4">
    <format dxfId="17">
      <pivotArea type="all" dataOnly="0" outline="0" fieldPosition="0"/>
    </format>
    <format dxfId="16">
      <pivotArea outline="0" collapsedLevelsAreSubtotals="1" fieldPosition="0"/>
    </format>
    <format dxfId="15">
      <pivotArea dataOnly="0" labelOnly="1" grandRow="1" outline="0" fieldPosition="0"/>
    </format>
    <format dxfId="14">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0" type="dateBetween" evalOrder="-1" id="52"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02B0D4-230D-4676-A44B-33BE1A98FD75}" name="PivotTable4" cacheId="0" dataOnRows="1" applyNumberFormats="0" applyBorderFormats="0" applyFontFormats="0" applyPatternFormats="0" applyAlignmentFormats="0" applyWidthHeightFormats="1" dataCaption="Statistic" updatedVersion="8" minRefreshableVersion="5" colGrandTotals="0" itemPrintTitles="1" createdVersion="8" indent="0" outline="1" outlineData="1" multipleFieldFilters="0" chartFormat="3" colHeaderCaption="Slash Stats">
  <location ref="B15:D20" firstHeaderRow="1" firstDataRow="2" firstDataCol="1"/>
  <pivotFields count="25">
    <pivotField multipleItemSelectionAllowed="1" showAll="0">
      <items count="15">
        <item x="0"/>
        <item x="1"/>
        <item x="2"/>
        <item x="3"/>
        <item x="4"/>
        <item x="5"/>
        <item x="6"/>
        <item x="7"/>
        <item x="8"/>
        <item x="9"/>
        <item x="10"/>
        <item x="11"/>
        <item x="12"/>
        <item x="13"/>
        <item t="default"/>
      </items>
    </pivotField>
    <pivotField axis="axisCol" showAll="0">
      <items count="3">
        <item n="Away" x="1"/>
        <item n="Home"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s>
  <rowFields count="1">
    <field x="-2"/>
  </rowFields>
  <rowItems count="4">
    <i>
      <x/>
    </i>
    <i i="1">
      <x v="1"/>
    </i>
    <i i="2">
      <x v="2"/>
    </i>
    <i i="3">
      <x v="3"/>
    </i>
  </rowItems>
  <colFields count="1">
    <field x="1"/>
  </colFields>
  <colItems count="2">
    <i>
      <x/>
    </i>
    <i>
      <x v="1"/>
    </i>
  </colItems>
  <dataFields count="4">
    <dataField name="AVG " fld="18" baseField="1" baseItem="1" numFmtId="164"/>
    <dataField name="OBP " fld="19" baseField="1" baseItem="1" numFmtId="164"/>
    <dataField name="SLG " fld="20" baseField="1" baseItem="1" numFmtId="164"/>
    <dataField name="OPS " fld="21" baseField="1" baseItem="1" numFmtId="164"/>
  </dataFields>
  <formats count="6">
    <format dxfId="23">
      <pivotArea type="all" dataOnly="0" outline="0" fieldPosition="0"/>
    </format>
    <format dxfId="22">
      <pivotArea outline="0" collapsedLevelsAreSubtotals="1" fieldPosition="0"/>
    </format>
    <format dxfId="21">
      <pivotArea type="origin" dataOnly="0" labelOnly="1" outline="0" fieldPosition="0"/>
    </format>
    <format dxfId="20">
      <pivotArea type="topRight" dataOnly="0" labelOnly="1" outline="0" fieldPosition="0"/>
    </format>
    <format dxfId="19">
      <pivotArea field="-2" type="button" dataOnly="0" labelOnly="1" outline="0" axis="axisRow" fieldPosition="0"/>
    </format>
    <format dxfId="18">
      <pivotArea dataOnly="0" labelOnly="1" outline="0" fieldPosition="0">
        <references count="1">
          <reference field="4294967294" count="4">
            <x v="0"/>
            <x v="1"/>
            <x v="2"/>
            <x v="3"/>
          </reference>
        </references>
      </pivotArea>
    </format>
  </format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0" type="dateBetween" evalOrder="-1" id="44"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3F0E21-9CFB-410C-BE11-BB1643057500}"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Home Runs" colHeaderCaption="Season">
  <location ref="B19:E29" firstHeaderRow="1" firstDataRow="4" firstDataCol="1"/>
  <pivotFields count="25">
    <pivotField axis="axisCol" numFmtId="14" showAll="0">
      <items count="15">
        <item x="0"/>
        <item x="1"/>
        <item x="2"/>
        <item x="3"/>
        <item x="4"/>
        <item x="5"/>
        <item x="6"/>
        <item x="7"/>
        <item x="8"/>
        <item x="9"/>
        <item x="10"/>
        <item x="11"/>
        <item x="12"/>
        <item x="13"/>
        <item t="default"/>
      </items>
    </pivotField>
    <pivotField showAll="0"/>
    <pivotField showAll="0"/>
    <pivotField dataField="1" showAll="0"/>
    <pivotField showAll="0"/>
    <pivotField showAll="0"/>
    <pivotField showAll="0"/>
    <pivotField showAll="0"/>
    <pivotField showAll="0"/>
    <pivotField showAll="0"/>
    <pivotField axis="axisRow" showAll="0">
      <items count="7">
        <item x="5"/>
        <item x="1"/>
        <item x="0"/>
        <item x="2"/>
        <item x="3"/>
        <item x="4"/>
        <item t="default"/>
      </items>
    </pivotField>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axis="axisCol" showAll="0" defaultSubtotal="0">
      <items count="6">
        <item sd="0" x="0"/>
        <item sd="0" x="1"/>
        <item sd="0" x="2"/>
        <item sd="0" x="3"/>
        <item sd="0" x="4"/>
        <item x="5"/>
      </items>
    </pivotField>
    <pivotField axis="axisCol" showAll="0" defaultSubtotal="0">
      <items count="4">
        <item sd="0" x="0"/>
        <item sd="0" x="1"/>
        <item sd="0" x="2"/>
        <item x="3"/>
      </items>
    </pivotField>
    <pivotField dragToRow="0" dragToCol="0" dragToPage="0" showAll="0" defaultSubtotal="0"/>
  </pivotFields>
  <rowFields count="1">
    <field x="10"/>
  </rowFields>
  <rowItems count="7">
    <i>
      <x/>
    </i>
    <i>
      <x v="1"/>
    </i>
    <i>
      <x v="2"/>
    </i>
    <i>
      <x v="3"/>
    </i>
    <i>
      <x v="4"/>
    </i>
    <i>
      <x v="5"/>
    </i>
    <i t="grand">
      <x/>
    </i>
  </rowItems>
  <colFields count="3">
    <field x="23"/>
    <field x="22"/>
    <field x="0"/>
  </colFields>
  <colItems count="3">
    <i>
      <x v="1"/>
    </i>
    <i>
      <x v="2"/>
    </i>
    <i t="grand">
      <x/>
    </i>
  </colItems>
  <dataFields count="1">
    <dataField name="Games" fld="3" subtotal="count" baseField="0" baseItem="0"/>
  </dataFields>
  <formats count="1">
    <format dxfId="0">
      <pivotArea type="all" dataOnly="0" outline="0" fieldPosition="0"/>
    </format>
  </formats>
  <chartFormats count="2">
    <chartFormat chart="0" format="0" series="1">
      <pivotArea type="data" outline="0" fieldPosition="0">
        <references count="2">
          <reference field="4294967294" count="1" selected="0">
            <x v="0"/>
          </reference>
          <reference field="23" count="1" selected="0">
            <x v="1"/>
          </reference>
        </references>
      </pivotArea>
    </chartFormat>
    <chartFormat chart="0" format="1" series="1">
      <pivotArea type="data" outline="0" fieldPosition="0">
        <references count="2">
          <reference field="4294967294" count="1" selected="0">
            <x v="0"/>
          </reference>
          <reference field="2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E5423A-1349-4F30-90DF-3F4F0011898F}" name="PivotTable10" cacheId="0" dataOnRows="1" applyNumberFormats="0" applyBorderFormats="0" applyFontFormats="0" applyPatternFormats="0" applyAlignmentFormats="0" applyWidthHeightFormats="1" dataCaption="Statistic" updatedVersion="8" minRefreshableVersion="3" colGrandTotals="0" itemPrintTitles="1" createdVersion="8" indent="0" outline="1" outlineData="1" multipleFieldFilters="0" chartFormat="1" colHeaderCaption="Year">
  <location ref="B2:D9" firstHeaderRow="1" firstDataRow="4" firstDataCol="1"/>
  <pivotFields count="25">
    <pivotField axis="axisCol" numFmtId="14" showAll="0">
      <items count="15">
        <item h="1" x="0"/>
        <item h="1" x="1"/>
        <item h="1" x="2"/>
        <item h="1" x="3"/>
        <item x="4"/>
        <item h="1" x="5"/>
        <item h="1" x="6"/>
        <item h="1" x="7"/>
        <item h="1" x="8"/>
        <item h="1" x="9"/>
        <item h="1" x="10"/>
        <item h="1" x="11"/>
        <item h="1" x="12"/>
        <item h="1"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axis="axisCol" showAll="0" defaultSubtotal="0">
      <items count="6">
        <item sd="0" x="0"/>
        <item sd="0" x="1"/>
        <item sd="0" x="2"/>
        <item sd="0" x="3"/>
        <item sd="0" x="4"/>
        <item x="5"/>
      </items>
    </pivotField>
    <pivotField axis="axisCol" showAll="0" defaultSubtotal="0">
      <items count="4">
        <item sd="0" x="0"/>
        <item sd="0" x="1"/>
        <item sd="0" x="2"/>
        <item x="3"/>
      </items>
    </pivotField>
    <pivotField dragToRow="0" dragToCol="0" dragToPage="0" showAll="0" defaultSubtotal="0"/>
  </pivotFields>
  <rowFields count="1">
    <field x="-2"/>
  </rowFields>
  <rowItems count="4">
    <i>
      <x/>
    </i>
    <i i="1">
      <x v="1"/>
    </i>
    <i i="2">
      <x v="2"/>
    </i>
    <i i="3">
      <x v="3"/>
    </i>
  </rowItems>
  <colFields count="3">
    <field x="23"/>
    <field x="22"/>
    <field x="0"/>
  </colFields>
  <colItems count="2">
    <i>
      <x v="1"/>
    </i>
    <i>
      <x v="2"/>
    </i>
  </colItems>
  <dataFields count="4">
    <dataField name="AVG " fld="18" baseField="0" baseItem="0" numFmtId="164"/>
    <dataField name="OBP " fld="19" baseField="0" baseItem="0" numFmtId="164"/>
    <dataField name="SLG " fld="20" baseField="0" baseItem="0" numFmtId="164"/>
    <dataField name="OPS " fld="21" baseField="0" baseItem="0" numFmtId="164"/>
  </dataFields>
  <formats count="8">
    <format dxfId="8">
      <pivotArea type="all" dataOnly="0" outline="0" fieldPosition="0"/>
    </format>
    <format dxfId="7">
      <pivotArea outline="0" collapsedLevelsAreSubtotals="1" fieldPosition="0"/>
    </format>
    <format dxfId="6">
      <pivotArea type="origin" dataOnly="0" labelOnly="1" outline="0" fieldPosition="0"/>
    </format>
    <format dxfId="5">
      <pivotArea field="23" type="button" dataOnly="0" labelOnly="1" outline="0" axis="axisCol" fieldPosition="0"/>
    </format>
    <format dxfId="4">
      <pivotArea field="22" type="button" dataOnly="0" labelOnly="1" outline="0" axis="axisCol" fieldPosition="1"/>
    </format>
    <format dxfId="3">
      <pivotArea field="-2" type="button" dataOnly="0" labelOnly="1" outline="0" axis="axisRow" fieldPosition="0"/>
    </format>
    <format dxfId="2">
      <pivotArea dataOnly="0" labelOnly="1" outline="0" fieldPosition="0">
        <references count="1">
          <reference field="4294967294" count="4">
            <x v="0"/>
            <x v="1"/>
            <x v="2"/>
            <x v="3"/>
          </reference>
        </references>
      </pivotArea>
    </format>
    <format dxfId="1">
      <pivotArea dataOnly="0" labelOnly="1" fieldPosition="0">
        <references count="1">
          <reference field="23" count="2">
            <x v="1"/>
            <x v="2"/>
          </reference>
        </references>
      </pivotArea>
    </format>
  </formats>
  <chartFormats count="3">
    <chartFormat chart="0" format="0" series="1">
      <pivotArea type="data" outline="0" fieldPosition="0">
        <references count="2">
          <reference field="4294967294" count="1" selected="0">
            <x v="0"/>
          </reference>
          <reference field="23" count="1" selected="0">
            <x v="1"/>
          </reference>
        </references>
      </pivotArea>
    </chartFormat>
    <chartFormat chart="0" format="1" series="1">
      <pivotArea type="data" outline="0" fieldPosition="0">
        <references count="2">
          <reference field="4294967294" count="1" selected="0">
            <x v="0"/>
          </reference>
          <reference field="23" count="1" selected="0">
            <x v="2"/>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511C3E1-05A5-4266-B397-5AE7C3CC3D01}" sourceName="Date">
  <pivotTables>
    <pivotTable tabId="10" name="PivotTable10"/>
  </pivotTables>
  <data>
    <tabular pivotCacheId="2103334283" showMissing="0" crossFilter="none">
      <items count="14">
        <i x="1"/>
        <i x="2"/>
        <i x="3"/>
        <i x="4" s="1"/>
        <i x="5"/>
        <i x="6"/>
        <i x="7"/>
        <i x="8"/>
        <i x="9"/>
        <i x="10"/>
        <i x="11"/>
        <i x="12"/>
        <i x="0"/>
        <i x="1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01EAB37C-1FDA-4B0E-96AB-3D86096935E8}" cache="Slicer_Date" caption="Date"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919A8858-0EBA-464C-92AA-87CD3FC87966}" sourceName="Date">
  <pivotTables>
    <pivotTable tabId="9" name="PivotTable5"/>
  </pivotTables>
  <state minimalRefreshVersion="6" lastRefreshVersion="6" pivotCacheId="2103334283" filterType="dateBetween">
    <selection startDate="2022-01-01T00:00:00" endDate="2023-12-31T00:00:00"/>
    <bounds startDate="2022-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EF0889B0-1768-4356-8457-A45C2A484293}" sourceName="Date">
  <pivotTables>
    <pivotTable tabId="9" name="PivotTable6"/>
  </pivotTables>
  <state minimalRefreshVersion="6" lastRefreshVersion="6" pivotCacheId="2103334283" filterType="dateBetween">
    <selection startDate="2022-01-01T00:00:00" endDate="2023-12-31T00:00:00"/>
    <bounds startDate="2022-01-01T00:00:00" endDate="202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57E9C93-7B19-47D2-9DAD-1412F459617D}" sourceName="Date">
  <pivotTables>
    <pivotTable tabId="9" name="PivotTable4"/>
  </pivotTables>
  <state minimalRefreshVersion="6" lastRefreshVersion="6" pivotCacheId="2103334283" filterType="dateBetween">
    <selection startDate="2022-01-01T00:00:00" endDate="2023-12-31T00:00:00"/>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1B9387BE-1128-43B4-A228-CA6D2927BBD2}" cache="NativeTimeline_Date1" caption="Date" level="0" selectionLevel="0" scrollPosition="2022-01-01T00:00:00"/>
  <timeline name="Date 2" xr10:uid="{99DBC894-2341-4B6A-A468-09A20EBB1665}" cache="NativeTimeline_Date2" caption="Date" level="0" selectionLevel="0" scrollPosition="2022-01-01T00:00:00"/>
  <timeline name="Date" xr10:uid="{58DE26B7-991B-48A1-88D7-7EE7CFFD6368}" cache="NativeTimeline_Date" caption="Date" level="0" selectionLevel="0"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baseball-reference.com/boxes/TBA/TBA202208250.shtml?__hstc=205977932.44b38330ec7980febccadd4973af5225.1679199339564.1682188845733.1682200668877.8&amp;__hssc=205977932.4.1682200668877&amp;__hsfp=3642558235" TargetMode="External"/><Relationship Id="rId299" Type="http://schemas.openxmlformats.org/officeDocument/2006/relationships/hyperlink" Target="https://www.baseball-reference.com/boxes/TBA/TBA202205130.shtml?__hstc=205977932.44b38330ec7980febccadd4973af5225.1679199339564.1682188845733.1682200668877.8&amp;__hssc=205977932.4.1682200668877&amp;__hsfp=3642558235" TargetMode="External"/><Relationship Id="rId21" Type="http://schemas.openxmlformats.org/officeDocument/2006/relationships/hyperlink" Target="https://www.baseball-reference.com/boxes/TBA/TBA202304100.shtml?__hstc=205977932.44b38330ec7980febccadd4973af5225.1679199339564.1682188845733.1682200668877.8&amp;__hssc=205977932.4.1682200668877&amp;__hsfp=3642558235" TargetMode="External"/><Relationship Id="rId63" Type="http://schemas.openxmlformats.org/officeDocument/2006/relationships/hyperlink" Target="https://www.baseball-reference.com/boxes/TBA/TBA202209230.shtml?__hstc=205977932.44b38330ec7980febccadd4973af5225.1679199339564.1682188845733.1682200668877.8&amp;__hssc=205977932.4.1682200668877&amp;__hsfp=3642558235" TargetMode="External"/><Relationship Id="rId159" Type="http://schemas.openxmlformats.org/officeDocument/2006/relationships/hyperlink" Target="https://www.baseball-reference.com/boxes/TBA/TBA202208020.shtml?__hstc=205977932.44b38330ec7980febccadd4973af5225.1679199339564.1682188845733.1682200668877.8&amp;__hssc=205977932.4.1682200668877&amp;__hsfp=3642558235" TargetMode="External"/><Relationship Id="rId324"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170"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26" Type="http://schemas.openxmlformats.org/officeDocument/2006/relationships/hyperlink" Target="https://www.baseball-reference.com/teams/PIT/2022.shtml?__hstc=205977932.44b38330ec7980febccadd4973af5225.1679199339564.1682188845733.1682200668877.8&amp;__hssc=205977932.4.1682200668877&amp;__hsfp=3642558235" TargetMode="External"/><Relationship Id="rId268"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32" Type="http://schemas.openxmlformats.org/officeDocument/2006/relationships/hyperlink" Target="https://www.baseball-reference.com/teams/WSN/2023.shtml?__hstc=205977932.44b38330ec7980febccadd4973af5225.1679199339564.1682188845733.1682200668877.8&amp;__hssc=205977932.4.1682200668877&amp;__hsfp=3642558235" TargetMode="External"/><Relationship Id="rId74"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128"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335" Type="http://schemas.openxmlformats.org/officeDocument/2006/relationships/hyperlink" Target="https://www.baseball-reference.com/boxes/TBA/TBA202204230.shtml?__hstc=205977932.44b38330ec7980febccadd4973af5225.1679199339564.1682188845733.1682200668877.8&amp;__hssc=205977932.4.1682200668877&amp;__hsfp=3642558235" TargetMode="External"/><Relationship Id="rId5" Type="http://schemas.openxmlformats.org/officeDocument/2006/relationships/hyperlink" Target="https://www.baseball-reference.com/boxes/CIN/CIN202304180.shtml?__hstc=205977932.44b38330ec7980febccadd4973af5225.1679199339564.1682188845733.1682200668877.8&amp;__hssc=205977932.4.1682200668877&amp;__hsfp=3642558235" TargetMode="External"/><Relationship Id="rId181" Type="http://schemas.openxmlformats.org/officeDocument/2006/relationships/hyperlink" Target="https://www.baseball-reference.com/boxes/TBA/TBA202207170.shtml?__hstc=205977932.44b38330ec7980febccadd4973af5225.1679199339564.1682188845733.1682200668877.8&amp;__hssc=205977932.4.1682200668877&amp;__hsfp=3642558235" TargetMode="External"/><Relationship Id="rId237" Type="http://schemas.openxmlformats.org/officeDocument/2006/relationships/hyperlink" Target="https://www.baseball-reference.com/boxes/BAL/BAL202206170.shtml?__hstc=205977932.44b38330ec7980febccadd4973af5225.1679199339564.1682188845733.1682200668877.8&amp;__hssc=205977932.4.1682200668877&amp;__hsfp=3642558235" TargetMode="External"/><Relationship Id="rId279" Type="http://schemas.openxmlformats.org/officeDocument/2006/relationships/hyperlink" Target="https://www.baseball-reference.com/boxes/TBA/TBA202205250.shtml?__hstc=205977932.44b38330ec7980febccadd4973af5225.1679199339564.1682188845733.1682200668877.8&amp;__hssc=205977932.4.1682200668877&amp;__hsfp=3642558235" TargetMode="External"/><Relationship Id="rId43" Type="http://schemas.openxmlformats.org/officeDocument/2006/relationships/hyperlink" Target="https://www.baseball-reference.com/boxes/BOS/BOS202210040.shtml?__hstc=205977932.44b38330ec7980febccadd4973af5225.1679199339564.1682188845733.1682200668877.8&amp;__hssc=205977932.4.1682200668877&amp;__hsfp=3642558235" TargetMode="External"/><Relationship Id="rId139" Type="http://schemas.openxmlformats.org/officeDocument/2006/relationships/hyperlink" Target="https://www.baseball-reference.com/boxes/TBA/TBA202208140.shtml?__hstc=205977932.44b38330ec7980febccadd4973af5225.1679199339564.1682188845733.1682200668877.8&amp;__hssc=205977932.4.1682200668877&amp;__hsfp=3642558235" TargetMode="External"/><Relationship Id="rId290"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304"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346"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85" Type="http://schemas.openxmlformats.org/officeDocument/2006/relationships/hyperlink" Target="https://www.baseball-reference.com/boxes/TOR/TOR202209131.shtml?__hstc=205977932.44b38330ec7980febccadd4973af5225.1679199339564.1682188845733.1682200668877.8&amp;__hssc=205977932.4.1682200668877&amp;__hsfp=3642558235" TargetMode="External"/><Relationship Id="rId150"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192"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06"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48"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12" Type="http://schemas.openxmlformats.org/officeDocument/2006/relationships/hyperlink" Target="https://www.baseball-reference.com/teams/TOR/2023.shtml?__hstc=205977932.44b38330ec7980febccadd4973af5225.1679199339564.1682188845733.1682200668877.8&amp;__hssc=205977932.4.1682200668877&amp;__hsfp=3642558235" TargetMode="External"/><Relationship Id="rId108" Type="http://schemas.openxmlformats.org/officeDocument/2006/relationships/hyperlink" Target="https://www.baseball-reference.com/teams/MIA/2022.shtml?__hstc=205977932.44b38330ec7980febccadd4973af5225.1679199339564.1682188845733.1682200668877.8&amp;__hssc=205977932.4.1682200668877&amp;__hsfp=3642558235" TargetMode="External"/><Relationship Id="rId315" Type="http://schemas.openxmlformats.org/officeDocument/2006/relationships/hyperlink" Target="https://www.baseball-reference.com/boxes/OAK/OAK202205040.shtml?__hstc=205977932.44b38330ec7980febccadd4973af5225.1679199339564.1682188845733.1682200668877.8&amp;__hssc=205977932.4.1682200668877&amp;__hsfp=3642558235" TargetMode="External"/><Relationship Id="rId357" Type="http://schemas.openxmlformats.org/officeDocument/2006/relationships/hyperlink" Target="https://www.baseball-reference.com/boxes/TBA/TBA202204110.shtml?__hstc=205977932.44b38330ec7980febccadd4973af5225.1679199339564.1682188845733.1682200668877.8&amp;__hssc=205977932.4.1682200668877&amp;__hsfp=3642558235" TargetMode="External"/><Relationship Id="rId54"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96"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161" Type="http://schemas.openxmlformats.org/officeDocument/2006/relationships/hyperlink" Target="https://www.baseball-reference.com/boxes/TBA/TBA202207310.shtml?__hstc=205977932.44b38330ec7980febccadd4973af5225.1679199339564.1682188845733.1682200668877.8&amp;__hssc=205977932.4.1682200668877&amp;__hsfp=3642558235" TargetMode="External"/><Relationship Id="rId217" Type="http://schemas.openxmlformats.org/officeDocument/2006/relationships/hyperlink" Target="https://www.baseball-reference.com/boxes/TBA/TBA202206290.shtml?__hstc=205977932.44b38330ec7980febccadd4973af5225.1679199339564.1682188845733.1682200668877.8&amp;__hssc=205977932.4.1682200668877&amp;__hsfp=3642558235" TargetMode="External"/><Relationship Id="rId259" Type="http://schemas.openxmlformats.org/officeDocument/2006/relationships/hyperlink" Target="https://www.baseball-reference.com/boxes/TBA/TBA202206040.shtml?__hstc=205977932.44b38330ec7980febccadd4973af5225.1679199339564.1682188845733.1682200668877.8&amp;__hssc=205977932.4.1682200668877&amp;__hsfp=3642558235" TargetMode="External"/><Relationship Id="rId23" Type="http://schemas.openxmlformats.org/officeDocument/2006/relationships/hyperlink" Target="https://www.baseball-reference.com/boxes/TBA/TBA202304090.shtml?__hstc=205977932.44b38330ec7980febccadd4973af5225.1679199339564.1682188845733.1682200668877.8&amp;__hssc=205977932.4.1682200668877&amp;__hsfp=3642558235" TargetMode="External"/><Relationship Id="rId119" Type="http://schemas.openxmlformats.org/officeDocument/2006/relationships/hyperlink" Target="https://www.baseball-reference.com/boxes/TBA/TBA202208240.shtml?__hstc=205977932.44b38330ec7980febccadd4973af5225.1679199339564.1682188845733.1682200668877.8&amp;__hssc=205977932.4.1682200668877&amp;__hsfp=3642558235" TargetMode="External"/><Relationship Id="rId270"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326"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65" Type="http://schemas.openxmlformats.org/officeDocument/2006/relationships/hyperlink" Target="https://www.baseball-reference.com/boxes/TBA/TBA202209220.shtml?__hstc=205977932.44b38330ec7980febccadd4973af5225.1679199339564.1682188845733.1682200668877.8&amp;__hssc=205977932.4.1682200668877&amp;__hsfp=3642558235" TargetMode="External"/><Relationship Id="rId130"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172"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28"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81" Type="http://schemas.openxmlformats.org/officeDocument/2006/relationships/hyperlink" Target="https://www.baseball-reference.com/boxes/TBA/TBA202205240.shtml?__hstc=205977932.44b38330ec7980febccadd4973af5225.1679199339564.1682188845733.1682200668877.8&amp;__hssc=205977932.4.1682200668877&amp;__hsfp=3642558235" TargetMode="External"/><Relationship Id="rId337" Type="http://schemas.openxmlformats.org/officeDocument/2006/relationships/hyperlink" Target="https://www.baseball-reference.com/boxes/TBA/TBA202204220.shtml?__hstc=205977932.44b38330ec7980febccadd4973af5225.1679199339564.1682188845733.1682200668877.8&amp;__hssc=205977932.4.1682200668877&amp;__hsfp=3642558235" TargetMode="External"/><Relationship Id="rId34" Type="http://schemas.openxmlformats.org/officeDocument/2006/relationships/hyperlink" Target="https://www.baseball-reference.com/teams/WSN/2023.shtml?__hstc=205977932.44b38330ec7980febccadd4973af5225.1679199339564.1682188845733.1682200668877.8&amp;__hssc=205977932.4.1682200668877&amp;__hsfp=3642558235" TargetMode="External"/><Relationship Id="rId76"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141" Type="http://schemas.openxmlformats.org/officeDocument/2006/relationships/hyperlink" Target="https://www.baseball-reference.com/boxes/TBA/TBA202208130.shtml?__hstc=205977932.44b38330ec7980febccadd4973af5225.1679199339564.1682188845733.1682200668877.8&amp;__hssc=205977932.4.1682200668877&amp;__hsfp=3642558235" TargetMode="External"/><Relationship Id="rId7" Type="http://schemas.openxmlformats.org/officeDocument/2006/relationships/hyperlink" Target="https://www.baseball-reference.com/boxes/CIN/CIN202304170.shtml?__hstc=205977932.44b38330ec7980febccadd4973af5225.1679199339564.1682188845733.1682200668877.8&amp;__hssc=205977932.4.1682200668877&amp;__hsfp=3642558235" TargetMode="External"/><Relationship Id="rId183" Type="http://schemas.openxmlformats.org/officeDocument/2006/relationships/hyperlink" Target="https://www.baseball-reference.com/boxes/TBA/TBA202207160.shtml?__hstc=205977932.44b38330ec7980febccadd4973af5225.1679199339564.1682188845733.1682200668877.8&amp;__hssc=205977932.4.1682200668877&amp;__hsfp=3642558235" TargetMode="External"/><Relationship Id="rId239" Type="http://schemas.openxmlformats.org/officeDocument/2006/relationships/hyperlink" Target="https://www.baseball-reference.com/boxes/NYA/NYA202206160.shtml?__hstc=205977932.44b38330ec7980febccadd4973af5225.1679199339564.1682188845733.1682200668877.8&amp;__hssc=205977932.4.1682200668877&amp;__hsfp=3642558235" TargetMode="External"/><Relationship Id="rId250"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292"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306"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45" Type="http://schemas.openxmlformats.org/officeDocument/2006/relationships/hyperlink" Target="https://www.baseball-reference.com/boxes/BOS/BOS202210030.shtml?__hstc=205977932.44b38330ec7980febccadd4973af5225.1679199339564.1682188845733.1682200668877.8&amp;__hssc=205977932.4.1682200668877&amp;__hsfp=3642558235" TargetMode="External"/><Relationship Id="rId87" Type="http://schemas.openxmlformats.org/officeDocument/2006/relationships/hyperlink" Target="https://www.baseball-reference.com/boxes/TOR/TOR202209120.shtml?__hstc=205977932.44b38330ec7980febccadd4973af5225.1679199339564.1682188845733.1682200668877.8&amp;__hssc=205977932.4.1682200668877&amp;__hsfp=3642558235" TargetMode="External"/><Relationship Id="rId110" Type="http://schemas.openxmlformats.org/officeDocument/2006/relationships/hyperlink" Target="https://www.baseball-reference.com/teams/MIA/2022.shtml?__hstc=205977932.44b38330ec7980febccadd4973af5225.1679199339564.1682188845733.1682200668877.8&amp;__hssc=205977932.4.1682200668877&amp;__hsfp=3642558235" TargetMode="External"/><Relationship Id="rId348"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152"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194"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08"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61" Type="http://schemas.openxmlformats.org/officeDocument/2006/relationships/hyperlink" Target="https://www.baseball-reference.com/boxes/TBA/TBA202206030.shtml?__hstc=205977932.44b38330ec7980febccadd4973af5225.1679199339564.1682188845733.1682200668877.8&amp;__hssc=205977932.4.1682200668877&amp;__hsfp=3642558235" TargetMode="External"/><Relationship Id="rId14" Type="http://schemas.openxmlformats.org/officeDocument/2006/relationships/hyperlink" Target="https://www.baseball-reference.com/teams/TOR/2023.shtml?__hstc=205977932.44b38330ec7980febccadd4973af5225.1679199339564.1682188845733.1682200668877.8&amp;__hssc=205977932.4.1682200668877&amp;__hsfp=3642558235" TargetMode="External"/><Relationship Id="rId56"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317" Type="http://schemas.openxmlformats.org/officeDocument/2006/relationships/hyperlink" Target="https://www.baseball-reference.com/boxes/OAK/OAK202205030.shtml?__hstc=205977932.44b38330ec7980febccadd4973af5225.1679199339564.1682188845733.1682200668877.8&amp;__hssc=205977932.4.1682200668877&amp;__hsfp=3642558235" TargetMode="External"/><Relationship Id="rId359" Type="http://schemas.openxmlformats.org/officeDocument/2006/relationships/hyperlink" Target="https://www.baseball-reference.com/boxes/TBA/TBA202204100.shtml?__hstc=205977932.44b38330ec7980febccadd4973af5225.1679199339564.1682188845733.1682200668877.8&amp;__hssc=205977932.4.1682200668877&amp;__hsfp=3642558235" TargetMode="External"/><Relationship Id="rId98"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121" Type="http://schemas.openxmlformats.org/officeDocument/2006/relationships/hyperlink" Target="https://www.baseball-reference.com/boxes/TBA/TBA202208230.shtml?__hstc=205977932.44b38330ec7980febccadd4973af5225.1679199339564.1682188845733.1682200668877.8&amp;__hssc=205977932.4.1682200668877&amp;__hsfp=3642558235" TargetMode="External"/><Relationship Id="rId163" Type="http://schemas.openxmlformats.org/officeDocument/2006/relationships/hyperlink" Target="https://www.baseball-reference.com/boxes/TBA/TBA202207300.shtml?__hstc=205977932.44b38330ec7980febccadd4973af5225.1679199339564.1682188845733.1682200668877.8&amp;__hssc=205977932.4.1682200668877&amp;__hsfp=3642558235" TargetMode="External"/><Relationship Id="rId219" Type="http://schemas.openxmlformats.org/officeDocument/2006/relationships/hyperlink" Target="https://www.baseball-reference.com/boxes/TBA/TBA202206280.shtml?__hstc=205977932.44b38330ec7980febccadd4973af5225.1679199339564.1682188845733.1682200668877.8&amp;__hssc=205977932.4.1682200668877&amp;__hsfp=3642558235" TargetMode="External"/><Relationship Id="rId230"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5" Type="http://schemas.openxmlformats.org/officeDocument/2006/relationships/hyperlink" Target="https://www.baseball-reference.com/boxes/TBA/TBA202304080.shtml?__hstc=205977932.44b38330ec7980febccadd4973af5225.1679199339564.1682188845733.1682200668877.8&amp;__hssc=205977932.4.1682200668877&amp;__hsfp=3642558235" TargetMode="External"/><Relationship Id="rId67" Type="http://schemas.openxmlformats.org/officeDocument/2006/relationships/hyperlink" Target="https://www.baseball-reference.com/boxes/TBA/TBA202209210.shtml?__hstc=205977932.44b38330ec7980febccadd4973af5225.1679199339564.1682188845733.1682200668877.8&amp;__hssc=205977932.4.1682200668877&amp;__hsfp=3642558235" TargetMode="External"/><Relationship Id="rId272"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328"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132"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17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20" Type="http://schemas.openxmlformats.org/officeDocument/2006/relationships/hyperlink" Target="https://www.baseball-reference.com/teams/MIL/2022.shtml?__hstc=205977932.44b38330ec7980febccadd4973af5225.1679199339564.1682188845733.1682200668877.8&amp;__hssc=205977932.4.1682200668877&amp;__hsfp=3642558235" TargetMode="External"/><Relationship Id="rId241" Type="http://schemas.openxmlformats.org/officeDocument/2006/relationships/hyperlink" Target="https://www.baseball-reference.com/boxes/NYA/NYA202206150.shtml?__hstc=205977932.44b38330ec7980febccadd4973af5225.1679199339564.1682188845733.1682200668877.8&amp;__hssc=205977932.4.1682200668877&amp;__hsfp=3642558235" TargetMode="External"/><Relationship Id="rId15" Type="http://schemas.openxmlformats.org/officeDocument/2006/relationships/hyperlink" Target="https://www.baseball-reference.com/boxes/TBA/TBA202304130.shtml?__hstc=205977932.44b38330ec7980febccadd4973af5225.1679199339564.1682188845733.1682200668877.8&amp;__hssc=205977932.4.1682200668877&amp;__hsfp=3642558235" TargetMode="External"/><Relationship Id="rId36" Type="http://schemas.openxmlformats.org/officeDocument/2006/relationships/hyperlink" Target="https://www.baseball-reference.com/teams/DET/2023.shtml?__hstc=205977932.44b38330ec7980febccadd4973af5225.1679199339564.1682188845733.1682200668877.8&amp;__hssc=205977932.4.1682200668877&amp;__hsfp=3642558235" TargetMode="External"/><Relationship Id="rId57" Type="http://schemas.openxmlformats.org/officeDocument/2006/relationships/hyperlink" Target="https://www.baseball-reference.com/boxes/CLE/CLE202209270.shtml?__hstc=205977932.44b38330ec7980febccadd4973af5225.1679199339564.1682188845733.1682200668877.8&amp;__hssc=205977932.4.1682200668877&amp;__hsfp=3642558235" TargetMode="External"/><Relationship Id="rId262"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283" Type="http://schemas.openxmlformats.org/officeDocument/2006/relationships/hyperlink" Target="https://www.baseball-reference.com/boxes/BAL/BAL202205220.shtml?__hstc=205977932.44b38330ec7980febccadd4973af5225.1679199339564.1682188845733.1682200668877.8&amp;__hssc=205977932.4.1682200668877&amp;__hsfp=3642558235" TargetMode="External"/><Relationship Id="rId318"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339" Type="http://schemas.openxmlformats.org/officeDocument/2006/relationships/hyperlink" Target="https://www.baseball-reference.com/boxes/CHN/CHN202204200.shtml?__hstc=205977932.44b38330ec7980febccadd4973af5225.1679199339564.1682188845733.1682200668877.8&amp;__hssc=205977932.4.1682200668877&amp;__hsfp=3642558235" TargetMode="External"/><Relationship Id="rId78"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99" Type="http://schemas.openxmlformats.org/officeDocument/2006/relationships/hyperlink" Target="https://www.baseball-reference.com/boxes/TBA/TBA202209050.shtml?__hstc=205977932.44b38330ec7980febccadd4973af5225.1679199339564.1682188845733.1682200668877.8&amp;__hssc=205977932.4.1682200668877&amp;__hsfp=3642558235" TargetMode="External"/><Relationship Id="rId101" Type="http://schemas.openxmlformats.org/officeDocument/2006/relationships/hyperlink" Target="https://www.baseball-reference.com/boxes/TBA/TBA202209040.shtml?__hstc=205977932.44b38330ec7980febccadd4973af5225.1679199339564.1682188845733.1682200668877.8&amp;__hssc=205977932.4.1682200668877&amp;__hsfp=3642558235" TargetMode="External"/><Relationship Id="rId122"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143" Type="http://schemas.openxmlformats.org/officeDocument/2006/relationships/hyperlink" Target="https://www.baseball-reference.com/boxes/TBA/TBA202208120.shtml?__hstc=205977932.44b38330ec7980febccadd4973af5225.1679199339564.1682188845733.1682200668877.8&amp;__hssc=205977932.4.1682200668877&amp;__hsfp=3642558235" TargetMode="External"/><Relationship Id="rId164"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185" Type="http://schemas.openxmlformats.org/officeDocument/2006/relationships/hyperlink" Target="https://www.baseball-reference.com/boxes/TBA/TBA202207150.shtml?__hstc=205977932.44b38330ec7980febccadd4973af5225.1679199339564.1682188845733.1682200668877.8&amp;__hssc=205977932.4.1682200668877&amp;__hsfp=3642558235" TargetMode="External"/><Relationship Id="rId350"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9" Type="http://schemas.openxmlformats.org/officeDocument/2006/relationships/hyperlink" Target="https://www.baseball-reference.com/boxes/TOR/TOR202304160.shtml?__hstc=205977932.44b38330ec7980febccadd4973af5225.1679199339564.1682188845733.1682200668877.8&amp;__hssc=205977932.4.1682200668877&amp;__hsfp=3642558235" TargetMode="External"/><Relationship Id="rId210"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6" Type="http://schemas.openxmlformats.org/officeDocument/2006/relationships/hyperlink" Target="https://www.baseball-reference.com/teams/OAK/2023.shtml?__hstc=205977932.44b38330ec7980febccadd4973af5225.1679199339564.1682188845733.1682200668877.8&amp;__hssc=205977932.4.1682200668877&amp;__hsfp=3642558235" TargetMode="External"/><Relationship Id="rId231" Type="http://schemas.openxmlformats.org/officeDocument/2006/relationships/hyperlink" Target="https://www.baseball-reference.com/boxes/TBA/TBA202206200.shtml?__hstc=205977932.44b38330ec7980febccadd4973af5225.1679199339564.1682188845733.1682200668877.8&amp;__hssc=205977932.4.1682200668877&amp;__hsfp=3642558235" TargetMode="External"/><Relationship Id="rId252" Type="http://schemas.openxmlformats.org/officeDocument/2006/relationships/hyperlink" Target="https://www.baseball-reference.com/teams/STL/2022.shtml?__hstc=205977932.44b38330ec7980febccadd4973af5225.1679199339564.1682188845733.1682200668877.8&amp;__hssc=205977932.4.1682200668877&amp;__hsfp=3642558235" TargetMode="External"/><Relationship Id="rId273" Type="http://schemas.openxmlformats.org/officeDocument/2006/relationships/hyperlink" Target="https://www.baseball-reference.com/boxes/TBA/TBA202205280.shtml?__hstc=205977932.44b38330ec7980febccadd4973af5225.1679199339564.1682188845733.1682200668877.8&amp;__hssc=205977932.4.1682200668877&amp;__hsfp=3642558235" TargetMode="External"/><Relationship Id="rId294"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308"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329" Type="http://schemas.openxmlformats.org/officeDocument/2006/relationships/hyperlink" Target="https://www.baseball-reference.com/boxes/TBA/TBA202204270.shtml?__hstc=205977932.44b38330ec7980febccadd4973af5225.1679199339564.1682188845733.1682200668877.8&amp;__hssc=205977932.4.1682200668877&amp;__hsfp=3642558235" TargetMode="External"/><Relationship Id="rId47" Type="http://schemas.openxmlformats.org/officeDocument/2006/relationships/hyperlink" Target="https://www.baseball-reference.com/boxes/HOU/HOU202210020.shtml?__hstc=205977932.44b38330ec7980febccadd4973af5225.1679199339564.1682188845733.1682200668877.8&amp;__hssc=205977932.4.1682200668877&amp;__hsfp=3642558235" TargetMode="External"/><Relationship Id="rId68"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89" Type="http://schemas.openxmlformats.org/officeDocument/2006/relationships/hyperlink" Target="https://www.baseball-reference.com/boxes/NYA/NYA202209110.shtml?__hstc=205977932.44b38330ec7980febccadd4973af5225.1679199339564.1682188845733.1682200668877.8&amp;__hssc=205977932.4.1682200668877&amp;__hsfp=3642558235" TargetMode="External"/><Relationship Id="rId112"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133" Type="http://schemas.openxmlformats.org/officeDocument/2006/relationships/hyperlink" Target="https://www.baseball-reference.com/boxes/NYA/NYA202208170.shtml?__hstc=205977932.44b38330ec7980febccadd4973af5225.1679199339564.1682188845733.1682200668877.8&amp;__hssc=205977932.4.1682200668877&amp;__hsfp=3642558235" TargetMode="External"/><Relationship Id="rId154"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175" Type="http://schemas.openxmlformats.org/officeDocument/2006/relationships/hyperlink" Target="https://www.baseball-reference.com/boxes/KCA/KCA202207240.shtml?__hstc=205977932.44b38330ec7980febccadd4973af5225.1679199339564.1682188845733.1682200668877.8&amp;__hssc=205977932.4.1682200668877&amp;__hsfp=3642558235" TargetMode="External"/><Relationship Id="rId340" Type="http://schemas.openxmlformats.org/officeDocument/2006/relationships/hyperlink" Target="https://www.baseball-reference.com/teams/CHC/2022.shtml?__hstc=205977932.44b38330ec7980febccadd4973af5225.1679199339564.1682188845733.1682200668877.8&amp;__hssc=205977932.4.1682200668877&amp;__hsfp=3642558235" TargetMode="External"/><Relationship Id="rId361" Type="http://schemas.openxmlformats.org/officeDocument/2006/relationships/hyperlink" Target="https://www.baseball-reference.com/boxes/TBA/TBA202204090.shtml?__hstc=205977932.44b38330ec7980febccadd4973af5225.1679199339564.1682188845733.1682200668877.8&amp;__hssc=205977932.4.1682200668877&amp;__hsfp=3642558235" TargetMode="External"/><Relationship Id="rId196" Type="http://schemas.openxmlformats.org/officeDocument/2006/relationships/hyperlink" Target="https://www.baseball-reference.com/teams/CIN/2022.shtml?__hstc=205977932.44b38330ec7980febccadd4973af5225.1679199339564.1682188845733.1682200668877.8&amp;__hssc=205977932.4.1682200668877&amp;__hsfp=3642558235" TargetMode="External"/><Relationship Id="rId200" Type="http://schemas.openxmlformats.org/officeDocument/2006/relationships/hyperlink" Target="https://www.baseball-reference.com/teams/CIN/2022.shtml?__hstc=205977932.44b38330ec7980febccadd4973af5225.1679199339564.1682188845733.1682200668877.8&amp;__hssc=205977932.4.1682200668877&amp;__hsfp=3642558235" TargetMode="External"/><Relationship Id="rId16" Type="http://schemas.openxmlformats.org/officeDocument/2006/relationships/hyperlink" Target="https://www.baseball-reference.com/teams/BOS/2023.shtml?__hstc=205977932.44b38330ec7980febccadd4973af5225.1679199339564.1682188845733.1682200668877.8&amp;__hssc=205977932.4.1682200668877&amp;__hsfp=3642558235" TargetMode="External"/><Relationship Id="rId221" Type="http://schemas.openxmlformats.org/officeDocument/2006/relationships/hyperlink" Target="https://www.baseball-reference.com/boxes/TBA/TBA202206260.shtml?__hstc=205977932.44b38330ec7980febccadd4973af5225.1679199339564.1682188845733.1682200668877.8&amp;__hssc=205977932.4.1682200668877&amp;__hsfp=3642558235" TargetMode="External"/><Relationship Id="rId242"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63" Type="http://schemas.openxmlformats.org/officeDocument/2006/relationships/hyperlink" Target="https://www.baseball-reference.com/boxes/TEX/TEX202206020.shtml?__hstc=205977932.44b38330ec7980febccadd4973af5225.1679199339564.1682188845733.1682200668877.8&amp;__hssc=205977932.4.1682200668877&amp;__hsfp=3642558235" TargetMode="External"/><Relationship Id="rId28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319" Type="http://schemas.openxmlformats.org/officeDocument/2006/relationships/hyperlink" Target="https://www.baseball-reference.com/boxes/OAK/OAK202205020.shtml?__hstc=205977932.44b38330ec7980febccadd4973af5225.1679199339564.1682188845733.1682200668877.8&amp;__hssc=205977932.4.1682200668877&amp;__hsfp=3642558235" TargetMode="External"/><Relationship Id="rId37" Type="http://schemas.openxmlformats.org/officeDocument/2006/relationships/hyperlink" Target="https://www.baseball-reference.com/boxes/TBA/TBA202304010.shtml?__hstc=205977932.44b38330ec7980febccadd4973af5225.1679199339564.1682188845733.1682200668877.8&amp;__hssc=205977932.4.1682200668877&amp;__hsfp=3642558235" TargetMode="External"/><Relationship Id="rId58"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79" Type="http://schemas.openxmlformats.org/officeDocument/2006/relationships/hyperlink" Target="https://www.baseball-reference.com/boxes/TOR/TOR202209150.shtml?__hstc=205977932.44b38330ec7980febccadd4973af5225.1679199339564.1682188845733.1682200668877.8&amp;__hssc=205977932.4.1682200668877&amp;__hsfp=3642558235" TargetMode="External"/><Relationship Id="rId102"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23" Type="http://schemas.openxmlformats.org/officeDocument/2006/relationships/hyperlink" Target="https://www.baseball-reference.com/boxes/TBA/TBA202208220.shtml?__hstc=205977932.44b38330ec7980febccadd4973af5225.1679199339564.1682188845733.1682200668877.8&amp;__hssc=205977932.4.1682200668877&amp;__hsfp=3642558235" TargetMode="External"/><Relationship Id="rId14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330"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90"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65" Type="http://schemas.openxmlformats.org/officeDocument/2006/relationships/hyperlink" Target="https://www.baseball-reference.com/boxes/TBA/TBA202207290.shtml?__hstc=205977932.44b38330ec7980febccadd4973af5225.1679199339564.1682188845733.1682200668877.8&amp;__hssc=205977932.4.1682200668877&amp;__hsfp=3642558235" TargetMode="External"/><Relationship Id="rId186"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351" Type="http://schemas.openxmlformats.org/officeDocument/2006/relationships/hyperlink" Target="https://www.baseball-reference.com/boxes/TBA/TBA202204140.shtml?__hstc=205977932.44b38330ec7980febccadd4973af5225.1679199339564.1682188845733.1682200668877.8&amp;__hssc=205977932.4.1682200668877&amp;__hsfp=3642558235" TargetMode="External"/><Relationship Id="rId211" Type="http://schemas.openxmlformats.org/officeDocument/2006/relationships/hyperlink" Target="https://www.baseball-reference.com/boxes/TOR/TOR202207021.shtml?__hstc=205977932.44b38330ec7980febccadd4973af5225.1679199339564.1682188845733.1682200668877.8&amp;__hssc=205977932.4.1682200668877&amp;__hsfp=3642558235" TargetMode="External"/><Relationship Id="rId232"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53" Type="http://schemas.openxmlformats.org/officeDocument/2006/relationships/hyperlink" Target="https://www.baseball-reference.com/boxes/TBA/TBA202206080.shtml?__hstc=205977932.44b38330ec7980febccadd4973af5225.1679199339564.1682188845733.1682200668877.8&amp;__hssc=205977932.4.1682200668877&amp;__hsfp=3642558235" TargetMode="External"/><Relationship Id="rId274"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95" Type="http://schemas.openxmlformats.org/officeDocument/2006/relationships/hyperlink" Target="https://www.baseball-reference.com/boxes/TBA/TBA202205150.shtml?__hstc=205977932.44b38330ec7980febccadd4973af5225.1679199339564.1682188845733.1682200668877.8&amp;__hssc=205977932.4.1682200668877&amp;__hsfp=3642558235" TargetMode="External"/><Relationship Id="rId309" Type="http://schemas.openxmlformats.org/officeDocument/2006/relationships/hyperlink" Target="https://www.baseball-reference.com/boxes/SEA/SEA202205070.shtml?__hstc=205977932.44b38330ec7980febccadd4973af5225.1679199339564.1682188845733.1682200668877.8&amp;__hssc=205977932.4.1682200668877&amp;__hsfp=3642558235" TargetMode="External"/><Relationship Id="rId27" Type="http://schemas.openxmlformats.org/officeDocument/2006/relationships/hyperlink" Target="https://www.baseball-reference.com/boxes/TBA/TBA202304070.shtml?__hstc=205977932.44b38330ec7980febccadd4973af5225.1679199339564.1682188845733.1682200668877.8&amp;__hssc=205977932.4.1682200668877&amp;__hsfp=3642558235" TargetMode="External"/><Relationship Id="rId48"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69" Type="http://schemas.openxmlformats.org/officeDocument/2006/relationships/hyperlink" Target="https://www.baseball-reference.com/boxes/TBA/TBA202209200.shtml?__hstc=205977932.44b38330ec7980febccadd4973af5225.1679199339564.1682188845733.1682200668877.8&amp;__hssc=205977932.4.1682200668877&amp;__hsfp=3642558235" TargetMode="External"/><Relationship Id="rId113" Type="http://schemas.openxmlformats.org/officeDocument/2006/relationships/hyperlink" Target="https://www.baseball-reference.com/boxes/BOS/BOS202208270.shtml?__hstc=205977932.44b38330ec7980febccadd4973af5225.1679199339564.1682188845733.1682200668877.8&amp;__hssc=205977932.4.1682200668877&amp;__hsfp=3642558235" TargetMode="External"/><Relationship Id="rId134"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320"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80"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55" Type="http://schemas.openxmlformats.org/officeDocument/2006/relationships/hyperlink" Target="https://www.baseball-reference.com/boxes/DET/DET202208040.shtml?__hstc=205977932.44b38330ec7980febccadd4973af5225.1679199339564.1682188845733.1682200668877.8&amp;__hssc=205977932.4.1682200668877&amp;__hsfp=3642558235" TargetMode="External"/><Relationship Id="rId176"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197" Type="http://schemas.openxmlformats.org/officeDocument/2006/relationships/hyperlink" Target="https://www.baseball-reference.com/boxes/CIN/CIN202207090.shtml?__hstc=205977932.44b38330ec7980febccadd4973af5225.1679199339564.1682188845733.1682200668877.8&amp;__hssc=205977932.4.1682200668877&amp;__hsfp=3642558235" TargetMode="External"/><Relationship Id="rId341" Type="http://schemas.openxmlformats.org/officeDocument/2006/relationships/hyperlink" Target="https://www.baseball-reference.com/boxes/CHN/CHN202204190.shtml?__hstc=205977932.44b38330ec7980febccadd4973af5225.1679199339564.1682188845733.1682200668877.8&amp;__hssc=205977932.4.1682200668877&amp;__hsfp=3642558235" TargetMode="External"/><Relationship Id="rId362"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01" Type="http://schemas.openxmlformats.org/officeDocument/2006/relationships/hyperlink" Target="https://www.baseball-reference.com/boxes/BOS/BOS202207060.shtml?__hstc=205977932.44b38330ec7980febccadd4973af5225.1679199339564.1682188845733.1682200668877.8&amp;__hssc=205977932.4.1682200668877&amp;__hsfp=3642558235" TargetMode="External"/><Relationship Id="rId222" Type="http://schemas.openxmlformats.org/officeDocument/2006/relationships/hyperlink" Target="https://www.baseball-reference.com/teams/PIT/2022.shtml?__hstc=205977932.44b38330ec7980febccadd4973af5225.1679199339564.1682188845733.1682200668877.8&amp;__hssc=205977932.4.1682200668877&amp;__hsfp=3642558235" TargetMode="External"/><Relationship Id="rId243" Type="http://schemas.openxmlformats.org/officeDocument/2006/relationships/hyperlink" Target="https://www.baseball-reference.com/boxes/NYA/NYA202206140.shtml?__hstc=205977932.44b38330ec7980febccadd4973af5225.1679199339564.1682188845733.1682200668877.8&amp;__hssc=205977932.4.1682200668877&amp;__hsfp=3642558235" TargetMode="External"/><Relationship Id="rId264"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285" Type="http://schemas.openxmlformats.org/officeDocument/2006/relationships/hyperlink" Target="https://www.baseball-reference.com/boxes/BAL/BAL202205210.shtml?__hstc=205977932.44b38330ec7980febccadd4973af5225.1679199339564.1682188845733.1682200668877.8&amp;__hssc=205977932.4.1682200668877&amp;__hsfp=3642558235" TargetMode="External"/><Relationship Id="rId17" Type="http://schemas.openxmlformats.org/officeDocument/2006/relationships/hyperlink" Target="https://www.baseball-reference.com/boxes/TBA/TBA202304120.shtml?__hstc=205977932.44b38330ec7980febccadd4973af5225.1679199339564.1682188845733.1682200668877.8&amp;__hssc=205977932.4.1682200668877&amp;__hsfp=3642558235" TargetMode="External"/><Relationship Id="rId38" Type="http://schemas.openxmlformats.org/officeDocument/2006/relationships/hyperlink" Target="https://www.baseball-reference.com/teams/DET/2023.shtml?__hstc=205977932.44b38330ec7980febccadd4973af5225.1679199339564.1682188845733.1682200668877.8&amp;__hssc=205977932.4.1682200668877&amp;__hsfp=3642558235" TargetMode="External"/><Relationship Id="rId59" Type="http://schemas.openxmlformats.org/officeDocument/2006/relationships/hyperlink" Target="https://www.baseball-reference.com/boxes/TBA/TBA202209250.shtml?__hstc=205977932.44b38330ec7980febccadd4973af5225.1679199339564.1682188845733.1682200668877.8&amp;__hssc=205977932.4.1682200668877&amp;__hsfp=3642558235" TargetMode="External"/><Relationship Id="rId103" Type="http://schemas.openxmlformats.org/officeDocument/2006/relationships/hyperlink" Target="https://www.baseball-reference.com/boxes/TBA/TBA202209030.shtml?__hstc=205977932.44b38330ec7980febccadd4973af5225.1679199339564.1682188845733.1682200668877.8&amp;__hssc=205977932.4.1682200668877&amp;__hsfp=3642558235" TargetMode="External"/><Relationship Id="rId124"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310"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70"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91" Type="http://schemas.openxmlformats.org/officeDocument/2006/relationships/hyperlink" Target="https://www.baseball-reference.com/boxes/NYA/NYA202209100.shtml?__hstc=205977932.44b38330ec7980febccadd4973af5225.1679199339564.1682188845733.1682200668877.8&amp;__hssc=205977932.4.1682200668877&amp;__hsfp=3642558235" TargetMode="External"/><Relationship Id="rId145" Type="http://schemas.openxmlformats.org/officeDocument/2006/relationships/hyperlink" Target="https://www.baseball-reference.com/boxes/MIL/MIL202208100.shtml?__hstc=205977932.44b38330ec7980febccadd4973af5225.1679199339564.1682188845733.1682200668877.8&amp;__hssc=205977932.4.1682200668877&amp;__hsfp=3642558235" TargetMode="External"/><Relationship Id="rId166"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187" Type="http://schemas.openxmlformats.org/officeDocument/2006/relationships/hyperlink" Target="https://www.baseball-reference.com/boxes/TBA/TBA202207140.shtml?__hstc=205977932.44b38330ec7980febccadd4973af5225.1679199339564.1682188845733.1682200668877.8&amp;__hssc=205977932.4.1682200668877&amp;__hsfp=3642558235" TargetMode="External"/><Relationship Id="rId331" Type="http://schemas.openxmlformats.org/officeDocument/2006/relationships/hyperlink" Target="https://www.baseball-reference.com/boxes/TBA/TBA202204260.shtml?__hstc=205977932.44b38330ec7980febccadd4973af5225.1679199339564.1682188845733.1682200668877.8&amp;__hssc=205977932.4.1682200668877&amp;__hsfp=3642558235" TargetMode="External"/><Relationship Id="rId352"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1" Type="http://schemas.openxmlformats.org/officeDocument/2006/relationships/hyperlink" Target="https://www.baseball-reference.com/boxes/TBA/TBA202304210.shtml?__hstc=205977932.44b38330ec7980febccadd4973af5225.1679199339564.1682188845733.1682200668877.8&amp;__hssc=205977932.4.1682200668877&amp;__hsfp=3642558235" TargetMode="External"/><Relationship Id="rId212"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33" Type="http://schemas.openxmlformats.org/officeDocument/2006/relationships/hyperlink" Target="https://www.baseball-reference.com/boxes/BAL/BAL202206190.shtml?__hstc=205977932.44b38330ec7980febccadd4973af5225.1679199339564.1682188845733.1682200668877.8&amp;__hssc=205977932.4.1682200668877&amp;__hsfp=3642558235" TargetMode="External"/><Relationship Id="rId254" Type="http://schemas.openxmlformats.org/officeDocument/2006/relationships/hyperlink" Target="https://www.baseball-reference.com/teams/STL/2022.shtml?__hstc=205977932.44b38330ec7980febccadd4973af5225.1679199339564.1682188845733.1682200668877.8&amp;__hssc=205977932.4.1682200668877&amp;__hsfp=3642558235" TargetMode="External"/><Relationship Id="rId28" Type="http://schemas.openxmlformats.org/officeDocument/2006/relationships/hyperlink" Target="https://www.baseball-reference.com/teams/OAK/2023.shtml?__hstc=205977932.44b38330ec7980febccadd4973af5225.1679199339564.1682188845733.1682200668877.8&amp;__hssc=205977932.4.1682200668877&amp;__hsfp=3642558235" TargetMode="External"/><Relationship Id="rId49" Type="http://schemas.openxmlformats.org/officeDocument/2006/relationships/hyperlink" Target="https://www.baseball-reference.com/boxes/HOU/HOU202210010.shtml?__hstc=205977932.44b38330ec7980febccadd4973af5225.1679199339564.1682188845733.1682200668877.8&amp;__hssc=205977932.4.1682200668877&amp;__hsfp=3642558235" TargetMode="External"/><Relationship Id="rId114"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75" Type="http://schemas.openxmlformats.org/officeDocument/2006/relationships/hyperlink" Target="https://www.baseball-reference.com/boxes/TBA/TBA202205270.shtml?__hstc=205977932.44b38330ec7980febccadd4973af5225.1679199339564.1682188845733.1682200668877.8&amp;__hssc=205977932.4.1682200668877&amp;__hsfp=3642558235" TargetMode="External"/><Relationship Id="rId296"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300"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60"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81" Type="http://schemas.openxmlformats.org/officeDocument/2006/relationships/hyperlink" Target="https://www.baseball-reference.com/boxes/TOR/TOR202209140.shtml?__hstc=205977932.44b38330ec7980febccadd4973af5225.1679199339564.1682188845733.1682200668877.8&amp;__hssc=205977932.4.1682200668877&amp;__hsfp=3642558235" TargetMode="External"/><Relationship Id="rId135" Type="http://schemas.openxmlformats.org/officeDocument/2006/relationships/hyperlink" Target="https://www.baseball-reference.com/boxes/NYA/NYA202208160.shtml?__hstc=205977932.44b38330ec7980febccadd4973af5225.1679199339564.1682188845733.1682200668877.8&amp;__hssc=205977932.4.1682200668877&amp;__hsfp=3642558235" TargetMode="External"/><Relationship Id="rId156" Type="http://schemas.openxmlformats.org/officeDocument/2006/relationships/hyperlink" Target="https://www.baseball-reference.com/teams/DET/2022.shtml?__hstc=205977932.44b38330ec7980febccadd4973af5225.1679199339564.1682188845733.1682200668877.8&amp;__hssc=205977932.4.1682200668877&amp;__hsfp=3642558235" TargetMode="External"/><Relationship Id="rId177" Type="http://schemas.openxmlformats.org/officeDocument/2006/relationships/hyperlink" Target="https://www.baseball-reference.com/boxes/KCA/KCA202207230.shtml?__hstc=205977932.44b38330ec7980febccadd4973af5225.1679199339564.1682188845733.1682200668877.8&amp;__hssc=205977932.4.1682200668877&amp;__hsfp=3642558235" TargetMode="External"/><Relationship Id="rId198" Type="http://schemas.openxmlformats.org/officeDocument/2006/relationships/hyperlink" Target="https://www.baseball-reference.com/teams/CIN/2022.shtml?__hstc=205977932.44b38330ec7980febccadd4973af5225.1679199339564.1682188845733.1682200668877.8&amp;__hssc=205977932.4.1682200668877&amp;__hsfp=3642558235" TargetMode="External"/><Relationship Id="rId321" Type="http://schemas.openxmlformats.org/officeDocument/2006/relationships/hyperlink" Target="https://www.baseball-reference.com/boxes/TBA/TBA202205010.shtml?__hstc=205977932.44b38330ec7980febccadd4973af5225.1679199339564.1682188845733.1682200668877.8&amp;__hssc=205977932.4.1682200668877&amp;__hsfp=3642558235" TargetMode="External"/><Relationship Id="rId342" Type="http://schemas.openxmlformats.org/officeDocument/2006/relationships/hyperlink" Target="https://www.baseball-reference.com/teams/CHC/2022.shtml?__hstc=205977932.44b38330ec7980febccadd4973af5225.1679199339564.1682188845733.1682200668877.8&amp;__hssc=205977932.4.1682200668877&amp;__hsfp=3642558235" TargetMode="External"/><Relationship Id="rId363" Type="http://schemas.openxmlformats.org/officeDocument/2006/relationships/hyperlink" Target="https://www.baseball-reference.com/boxes/TBA/TBA202204080.shtml?__hstc=205977932.44b38330ec7980febccadd4973af5225.1679199339564.1682188845733.1682200668877.8&amp;__hssc=205977932.4.1682200668877&amp;__hsfp=3642558235" TargetMode="External"/><Relationship Id="rId202"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23" Type="http://schemas.openxmlformats.org/officeDocument/2006/relationships/hyperlink" Target="https://www.baseball-reference.com/boxes/TBA/TBA202206250.shtml?__hstc=205977932.44b38330ec7980febccadd4973af5225.1679199339564.1682188845733.1682200668877.8&amp;__hssc=205977932.4.1682200668877&amp;__hsfp=3642558235" TargetMode="External"/><Relationship Id="rId244"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8" Type="http://schemas.openxmlformats.org/officeDocument/2006/relationships/hyperlink" Target="https://www.baseball-reference.com/teams/BOS/2023.shtml?__hstc=205977932.44b38330ec7980febccadd4973af5225.1679199339564.1682188845733.1682200668877.8&amp;__hssc=205977932.4.1682200668877&amp;__hsfp=3642558235" TargetMode="External"/><Relationship Id="rId39" Type="http://schemas.openxmlformats.org/officeDocument/2006/relationships/hyperlink" Target="https://www.baseball-reference.com/boxes/TBA/TBA202303300.shtml?__hstc=205977932.44b38330ec7980febccadd4973af5225.1679199339564.1682188845733.1682200668877.8&amp;__hssc=205977932.4.1682200668877&amp;__hsfp=3642558235" TargetMode="External"/><Relationship Id="rId265" Type="http://schemas.openxmlformats.org/officeDocument/2006/relationships/hyperlink" Target="https://www.baseball-reference.com/boxes/TEX/TEX202206010.shtml?__hstc=205977932.44b38330ec7980febccadd4973af5225.1679199339564.1682188845733.1682200668877.8&amp;__hssc=205977932.4.1682200668877&amp;__hsfp=3642558235" TargetMode="External"/><Relationship Id="rId286"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50"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104"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25" Type="http://schemas.openxmlformats.org/officeDocument/2006/relationships/hyperlink" Target="https://www.baseball-reference.com/boxes/TBA/TBA202208210.shtml?__hstc=205977932.44b38330ec7980febccadd4973af5225.1679199339564.1682188845733.1682200668877.8&amp;__hssc=205977932.4.1682200668877&amp;__hsfp=3642558235" TargetMode="External"/><Relationship Id="rId146" Type="http://schemas.openxmlformats.org/officeDocument/2006/relationships/hyperlink" Target="https://www.baseball-reference.com/teams/MIL/2022.shtml?__hstc=205977932.44b38330ec7980febccadd4973af5225.1679199339564.1682188845733.1682200668877.8&amp;__hssc=205977932.4.1682200668877&amp;__hsfp=3642558235" TargetMode="External"/><Relationship Id="rId167" Type="http://schemas.openxmlformats.org/officeDocument/2006/relationships/hyperlink" Target="https://www.baseball-reference.com/boxes/BAL/BAL202207280.shtml?__hstc=205977932.44b38330ec7980febccadd4973af5225.1679199339564.1682188845733.1682200668877.8&amp;__hssc=205977932.4.1682200668877&amp;__hsfp=3642558235" TargetMode="External"/><Relationship Id="rId188"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311" Type="http://schemas.openxmlformats.org/officeDocument/2006/relationships/hyperlink" Target="https://www.baseball-reference.com/boxes/SEA/SEA202205060.shtml?__hstc=205977932.44b38330ec7980febccadd4973af5225.1679199339564.1682188845733.1682200668877.8&amp;__hssc=205977932.4.1682200668877&amp;__hsfp=3642558235" TargetMode="External"/><Relationship Id="rId332"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353" Type="http://schemas.openxmlformats.org/officeDocument/2006/relationships/hyperlink" Target="https://www.baseball-reference.com/boxes/TBA/TBA202204130.shtml?__hstc=205977932.44b38330ec7980febccadd4973af5225.1679199339564.1682188845733.1682200668877.8&amp;__hssc=205977932.4.1682200668877&amp;__hsfp=3642558235" TargetMode="External"/><Relationship Id="rId71" Type="http://schemas.openxmlformats.org/officeDocument/2006/relationships/hyperlink" Target="https://www.baseball-reference.com/boxes/TBA/TBA202209190.shtml?__hstc=205977932.44b38330ec7980febccadd4973af5225.1679199339564.1682188845733.1682200668877.8&amp;__hssc=205977932.4.1682200668877&amp;__hsfp=3642558235" TargetMode="External"/><Relationship Id="rId92"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13" Type="http://schemas.openxmlformats.org/officeDocument/2006/relationships/hyperlink" Target="https://www.baseball-reference.com/boxes/TOR/TOR202207010.shtml?__hstc=205977932.44b38330ec7980febccadd4973af5225.1679199339564.1682188845733.1682200668877.8&amp;__hssc=205977932.4.1682200668877&amp;__hsfp=3642558235" TargetMode="External"/><Relationship Id="rId23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 Type="http://schemas.openxmlformats.org/officeDocument/2006/relationships/hyperlink" Target="https://www.baseball-reference.com/teams/CHW/2023.shtml?__hstc=205977932.44b38330ec7980febccadd4973af5225.1679199339564.1682188845733.1682200668877.8&amp;__hssc=205977932.4.1682200668877&amp;__hsfp=3642558235" TargetMode="External"/><Relationship Id="rId29" Type="http://schemas.openxmlformats.org/officeDocument/2006/relationships/hyperlink" Target="https://www.baseball-reference.com/boxes/WAS/WAS202304050.shtml?__hstc=205977932.44b38330ec7980febccadd4973af5225.1679199339564.1682188845733.1682200668877.8&amp;__hssc=205977932.4.1682200668877&amp;__hsfp=3642558235" TargetMode="External"/><Relationship Id="rId255" Type="http://schemas.openxmlformats.org/officeDocument/2006/relationships/hyperlink" Target="https://www.baseball-reference.com/boxes/TBA/TBA202206070.shtml?__hstc=205977932.44b38330ec7980febccadd4973af5225.1679199339564.1682188845733.1682200668877.8&amp;__hssc=205977932.4.1682200668877&amp;__hsfp=3642558235" TargetMode="External"/><Relationship Id="rId276"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297" Type="http://schemas.openxmlformats.org/officeDocument/2006/relationships/hyperlink" Target="https://www.baseball-reference.com/boxes/TBA/TBA202205140.shtml?__hstc=205977932.44b38330ec7980febccadd4973af5225.1679199339564.1682188845733.1682200668877.8&amp;__hssc=205977932.4.1682200668877&amp;__hsfp=3642558235" TargetMode="External"/><Relationship Id="rId40" Type="http://schemas.openxmlformats.org/officeDocument/2006/relationships/hyperlink" Target="https://www.baseball-reference.com/teams/DET/2023.shtml?__hstc=205977932.44b38330ec7980febccadd4973af5225.1679199339564.1682188845733.1682200668877.8&amp;__hssc=205977932.4.1682200668877&amp;__hsfp=3642558235" TargetMode="External"/><Relationship Id="rId115" Type="http://schemas.openxmlformats.org/officeDocument/2006/relationships/hyperlink" Target="https://www.baseball-reference.com/boxes/BOS/BOS202208260.shtml?__hstc=205977932.44b38330ec7980febccadd4973af5225.1679199339564.1682188845733.1682200668877.8&amp;__hssc=205977932.4.1682200668877&amp;__hsfp=3642558235" TargetMode="External"/><Relationship Id="rId136"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57" Type="http://schemas.openxmlformats.org/officeDocument/2006/relationships/hyperlink" Target="https://www.baseball-reference.com/boxes/TBA/TBA202208030.shtml?__hstc=205977932.44b38330ec7980febccadd4973af5225.1679199339564.1682188845733.1682200668877.8&amp;__hssc=205977932.4.1682200668877&amp;__hsfp=3642558235" TargetMode="External"/><Relationship Id="rId178"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301" Type="http://schemas.openxmlformats.org/officeDocument/2006/relationships/hyperlink" Target="https://www.baseball-reference.com/boxes/ANA/ANA202205110.shtml?__hstc=205977932.44b38330ec7980febccadd4973af5225.1679199339564.1682188845733.1682200668877.8&amp;__hssc=205977932.4.1682200668877&amp;__hsfp=3642558235" TargetMode="External"/><Relationship Id="rId322"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343" Type="http://schemas.openxmlformats.org/officeDocument/2006/relationships/hyperlink" Target="https://www.baseball-reference.com/boxes/CHN/CHN202204180.shtml?__hstc=205977932.44b38330ec7980febccadd4973af5225.1679199339564.1682188845733.1682200668877.8&amp;__hssc=205977932.4.1682200668877&amp;__hsfp=3642558235" TargetMode="External"/><Relationship Id="rId36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61" Type="http://schemas.openxmlformats.org/officeDocument/2006/relationships/hyperlink" Target="https://www.baseball-reference.com/boxes/TBA/TBA202209240.shtml?__hstc=205977932.44b38330ec7980febccadd4973af5225.1679199339564.1682188845733.1682200668877.8&amp;__hssc=205977932.4.1682200668877&amp;__hsfp=3642558235" TargetMode="External"/><Relationship Id="rId82"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99" Type="http://schemas.openxmlformats.org/officeDocument/2006/relationships/hyperlink" Target="https://www.baseball-reference.com/boxes/CIN/CIN202207080.shtml?__hstc=205977932.44b38330ec7980febccadd4973af5225.1679199339564.1682188845733.1682200668877.8&amp;__hssc=205977932.4.1682200668877&amp;__hsfp=3642558235" TargetMode="External"/><Relationship Id="rId203" Type="http://schemas.openxmlformats.org/officeDocument/2006/relationships/hyperlink" Target="https://www.baseball-reference.com/boxes/BOS/BOS202207050.shtml?__hstc=205977932.44b38330ec7980febccadd4973af5225.1679199339564.1682188845733.1682200668877.8&amp;__hssc=205977932.4.1682200668877&amp;__hsfp=3642558235" TargetMode="External"/><Relationship Id="rId19" Type="http://schemas.openxmlformats.org/officeDocument/2006/relationships/hyperlink" Target="https://www.baseball-reference.com/boxes/TBA/TBA202304110.shtml?__hstc=205977932.44b38330ec7980febccadd4973af5225.1679199339564.1682188845733.1682200668877.8&amp;__hssc=205977932.4.1682200668877&amp;__hsfp=3642558235" TargetMode="External"/><Relationship Id="rId224" Type="http://schemas.openxmlformats.org/officeDocument/2006/relationships/hyperlink" Target="https://www.baseball-reference.com/teams/PIT/2022.shtml?__hstc=205977932.44b38330ec7980febccadd4973af5225.1679199339564.1682188845733.1682200668877.8&amp;__hssc=205977932.4.1682200668877&amp;__hsfp=3642558235" TargetMode="External"/><Relationship Id="rId245" Type="http://schemas.openxmlformats.org/officeDocument/2006/relationships/hyperlink" Target="https://www.baseball-reference.com/boxes/MIN/MIN202206120.shtml?__hstc=205977932.44b38330ec7980febccadd4973af5225.1679199339564.1682188845733.1682200668877.8&amp;__hssc=205977932.4.1682200668877&amp;__hsfp=3642558235" TargetMode="External"/><Relationship Id="rId266" Type="http://schemas.openxmlformats.org/officeDocument/2006/relationships/hyperlink" Target="https://www.baseball-reference.com/teams/TEX/2022.shtml?__hstc=205977932.44b38330ec7980febccadd4973af5225.1679199339564.1682188845733.1682200668877.8&amp;__hssc=205977932.4.1682200668877&amp;__hsfp=3642558235" TargetMode="External"/><Relationship Id="rId287" Type="http://schemas.openxmlformats.org/officeDocument/2006/relationships/hyperlink" Target="https://www.baseball-reference.com/boxes/BAL/BAL202205200.shtml?__hstc=205977932.44b38330ec7980febccadd4973af5225.1679199339564.1682188845733.1682200668877.8&amp;__hssc=205977932.4.1682200668877&amp;__hsfp=3642558235" TargetMode="External"/><Relationship Id="rId30" Type="http://schemas.openxmlformats.org/officeDocument/2006/relationships/hyperlink" Target="https://www.baseball-reference.com/teams/WSN/2023.shtml?__hstc=205977932.44b38330ec7980febccadd4973af5225.1679199339564.1682188845733.1682200668877.8&amp;__hssc=205977932.4.1682200668877&amp;__hsfp=3642558235" TargetMode="External"/><Relationship Id="rId105" Type="http://schemas.openxmlformats.org/officeDocument/2006/relationships/hyperlink" Target="https://www.baseball-reference.com/boxes/TBA/TBA202209020.shtml?__hstc=205977932.44b38330ec7980febccadd4973af5225.1679199339564.1682188845733.1682200668877.8&amp;__hssc=205977932.4.1682200668877&amp;__hsfp=3642558235" TargetMode="External"/><Relationship Id="rId126"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147" Type="http://schemas.openxmlformats.org/officeDocument/2006/relationships/hyperlink" Target="https://www.baseball-reference.com/boxes/MIL/MIL202208090.shtml?__hstc=205977932.44b38330ec7980febccadd4973af5225.1679199339564.1682188845733.1682200668877.8&amp;__hssc=205977932.4.1682200668877&amp;__hsfp=3642558235" TargetMode="External"/><Relationship Id="rId168"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312"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333" Type="http://schemas.openxmlformats.org/officeDocument/2006/relationships/hyperlink" Target="https://www.baseball-reference.com/boxes/TBA/TBA202204240.shtml?__hstc=205977932.44b38330ec7980febccadd4973af5225.1679199339564.1682188845733.1682200668877.8&amp;__hssc=205977932.4.1682200668877&amp;__hsfp=3642558235" TargetMode="External"/><Relationship Id="rId354"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51" Type="http://schemas.openxmlformats.org/officeDocument/2006/relationships/hyperlink" Target="https://www.baseball-reference.com/boxes/HOU/HOU202209300.shtml?__hstc=205977932.44b38330ec7980febccadd4973af5225.1679199339564.1682188845733.1682200668877.8&amp;__hssc=205977932.4.1682200668877&amp;__hsfp=3642558235" TargetMode="External"/><Relationship Id="rId72"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93" Type="http://schemas.openxmlformats.org/officeDocument/2006/relationships/hyperlink" Target="https://www.baseball-reference.com/boxes/NYA/NYA202209090.shtml?__hstc=205977932.44b38330ec7980febccadd4973af5225.1679199339564.1682188845733.1682200668877.8&amp;__hssc=205977932.4.1682200668877&amp;__hsfp=3642558235" TargetMode="External"/><Relationship Id="rId189" Type="http://schemas.openxmlformats.org/officeDocument/2006/relationships/hyperlink" Target="https://www.baseball-reference.com/boxes/TBA/TBA202207130.shtml?__hstc=205977932.44b38330ec7980febccadd4973af5225.1679199339564.1682188845733.1682200668877.8&amp;__hssc=205977932.4.1682200668877&amp;__hsfp=3642558235" TargetMode="External"/><Relationship Id="rId3" Type="http://schemas.openxmlformats.org/officeDocument/2006/relationships/hyperlink" Target="https://www.baseball-reference.com/boxes/CIN/CIN202304190.shtml?__hstc=205977932.44b38330ec7980febccadd4973af5225.1679199339564.1682188845733.1682200668877.8&amp;__hssc=205977932.4.1682200668877&amp;__hsfp=3642558235" TargetMode="External"/><Relationship Id="rId214"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35" Type="http://schemas.openxmlformats.org/officeDocument/2006/relationships/hyperlink" Target="https://www.baseball-reference.com/boxes/BAL/BAL202206180.shtml?__hstc=205977932.44b38330ec7980febccadd4973af5225.1679199339564.1682188845733.1682200668877.8&amp;__hssc=205977932.4.1682200668877&amp;__hsfp=3642558235" TargetMode="External"/><Relationship Id="rId256" Type="http://schemas.openxmlformats.org/officeDocument/2006/relationships/hyperlink" Target="https://www.baseball-reference.com/teams/STL/2022.shtml?__hstc=205977932.44b38330ec7980febccadd4973af5225.1679199339564.1682188845733.1682200668877.8&amp;__hssc=205977932.4.1682200668877&amp;__hsfp=3642558235" TargetMode="External"/><Relationship Id="rId277" Type="http://schemas.openxmlformats.org/officeDocument/2006/relationships/hyperlink" Target="https://www.baseball-reference.com/boxes/TBA/TBA202205260.shtml?__hstc=205977932.44b38330ec7980febccadd4973af5225.1679199339564.1682188845733.1682200668877.8&amp;__hssc=205977932.4.1682200668877&amp;__hsfp=3642558235" TargetMode="External"/><Relationship Id="rId298"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16"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137" Type="http://schemas.openxmlformats.org/officeDocument/2006/relationships/hyperlink" Target="https://www.baseball-reference.com/boxes/NYA/NYA202208150.shtml?__hstc=205977932.44b38330ec7980febccadd4973af5225.1679199339564.1682188845733.1682200668877.8&amp;__hssc=205977932.4.1682200668877&amp;__hsfp=3642558235" TargetMode="External"/><Relationship Id="rId158"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302"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323" Type="http://schemas.openxmlformats.org/officeDocument/2006/relationships/hyperlink" Target="https://www.baseball-reference.com/boxes/TBA/TBA202204300.shtml?__hstc=205977932.44b38330ec7980febccadd4973af5225.1679199339564.1682188845733.1682200668877.8&amp;__hssc=205977932.4.1682200668877&amp;__hsfp=3642558235" TargetMode="External"/><Relationship Id="rId344" Type="http://schemas.openxmlformats.org/officeDocument/2006/relationships/hyperlink" Target="https://www.baseball-reference.com/teams/CHC/2022.shtml?__hstc=205977932.44b38330ec7980febccadd4973af5225.1679199339564.1682188845733.1682200668877.8&amp;__hssc=205977932.4.1682200668877&amp;__hsfp=3642558235" TargetMode="External"/><Relationship Id="rId20" Type="http://schemas.openxmlformats.org/officeDocument/2006/relationships/hyperlink" Target="https://www.baseball-reference.com/teams/BOS/2023.shtml?__hstc=205977932.44b38330ec7980febccadd4973af5225.1679199339564.1682188845733.1682200668877.8&amp;__hssc=205977932.4.1682200668877&amp;__hsfp=3642558235" TargetMode="External"/><Relationship Id="rId41" Type="http://schemas.openxmlformats.org/officeDocument/2006/relationships/hyperlink" Target="https://www.baseball-reference.com/boxes/BOS/BOS202210050.shtml?__hstc=205977932.44b38330ec7980febccadd4973af5225.1679199339564.1682188845733.1682200668877.8&amp;__hssc=205977932.4.1682200668877&amp;__hsfp=3642558235" TargetMode="External"/><Relationship Id="rId62"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83" Type="http://schemas.openxmlformats.org/officeDocument/2006/relationships/hyperlink" Target="https://www.baseball-reference.com/boxes/TOR/TOR202209132.shtml?__hstc=205977932.44b38330ec7980febccadd4973af5225.1679199339564.1682188845733.1682200668877.8&amp;__hssc=205977932.4.1682200668877&amp;__hsfp=3642558235" TargetMode="External"/><Relationship Id="rId179" Type="http://schemas.openxmlformats.org/officeDocument/2006/relationships/hyperlink" Target="https://www.baseball-reference.com/boxes/KCA/KCA202207220.shtml?__hstc=205977932.44b38330ec7980febccadd4973af5225.1679199339564.1682188845733.1682200668877.8&amp;__hssc=205977932.4.1682200668877&amp;__hsfp=3642558235" TargetMode="External"/><Relationship Id="rId365" Type="http://schemas.openxmlformats.org/officeDocument/2006/relationships/drawing" Target="../drawings/drawing3.xml"/><Relationship Id="rId190"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04"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25" Type="http://schemas.openxmlformats.org/officeDocument/2006/relationships/hyperlink" Target="https://www.baseball-reference.com/boxes/TBA/TBA202206240.shtml?__hstc=205977932.44b38330ec7980febccadd4973af5225.1679199339564.1682188845733.1682200668877.8&amp;__hssc=205977932.4.1682200668877&amp;__hsfp=3642558235" TargetMode="External"/><Relationship Id="rId246" Type="http://schemas.openxmlformats.org/officeDocument/2006/relationships/hyperlink" Target="https://www.baseball-reference.com/teams/MIN/2022.shtml?__hstc=205977932.44b38330ec7980febccadd4973af5225.1679199339564.1682188845733.1682200668877.8&amp;__hssc=205977932.4.1682200668877&amp;__hsfp=3642558235" TargetMode="External"/><Relationship Id="rId267" Type="http://schemas.openxmlformats.org/officeDocument/2006/relationships/hyperlink" Target="https://www.baseball-reference.com/boxes/TEX/TEX202205310.shtml?__hstc=205977932.44b38330ec7980febccadd4973af5225.1679199339564.1682188845733.1682200668877.8&amp;__hssc=205977932.4.1682200668877&amp;__hsfp=3642558235" TargetMode="External"/><Relationship Id="rId288"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106"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27" Type="http://schemas.openxmlformats.org/officeDocument/2006/relationships/hyperlink" Target="https://www.baseball-reference.com/boxes/TBA/TBA202208200.shtml?__hstc=205977932.44b38330ec7980febccadd4973af5225.1679199339564.1682188845733.1682200668877.8&amp;__hssc=205977932.4.1682200668877&amp;__hsfp=3642558235" TargetMode="External"/><Relationship Id="rId313" Type="http://schemas.openxmlformats.org/officeDocument/2006/relationships/hyperlink" Target="https://www.baseball-reference.com/boxes/SEA/SEA202205050.shtml?__hstc=205977932.44b38330ec7980febccadd4973af5225.1679199339564.1682188845733.1682200668877.8&amp;__hssc=205977932.4.1682200668877&amp;__hsfp=3642558235" TargetMode="External"/><Relationship Id="rId10" Type="http://schemas.openxmlformats.org/officeDocument/2006/relationships/hyperlink" Target="https://www.baseball-reference.com/teams/TOR/2023.shtml?__hstc=205977932.44b38330ec7980febccadd4973af5225.1679199339564.1682188845733.1682200668877.8&amp;__hssc=205977932.4.1682200668877&amp;__hsfp=3642558235" TargetMode="External"/><Relationship Id="rId31" Type="http://schemas.openxmlformats.org/officeDocument/2006/relationships/hyperlink" Target="https://www.baseball-reference.com/boxes/WAS/WAS202304040.shtml?__hstc=205977932.44b38330ec7980febccadd4973af5225.1679199339564.1682188845733.1682200668877.8&amp;__hssc=205977932.4.1682200668877&amp;__hsfp=3642558235" TargetMode="External"/><Relationship Id="rId52" Type="http://schemas.openxmlformats.org/officeDocument/2006/relationships/hyperlink" Target="https://www.baseball-reference.com/teams/HOU/2022.shtml?__hstc=205977932.44b38330ec7980febccadd4973af5225.1679199339564.1682188845733.1682200668877.8&amp;__hssc=205977932.4.1682200668877&amp;__hsfp=3642558235" TargetMode="External"/><Relationship Id="rId73" Type="http://schemas.openxmlformats.org/officeDocument/2006/relationships/hyperlink" Target="https://www.baseball-reference.com/boxes/TBA/TBA202209180.shtml?__hstc=205977932.44b38330ec7980febccadd4973af5225.1679199339564.1682188845733.1682200668877.8&amp;__hssc=205977932.4.1682200668877&amp;__hsfp=3642558235" TargetMode="External"/><Relationship Id="rId94"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148" Type="http://schemas.openxmlformats.org/officeDocument/2006/relationships/hyperlink" Target="https://www.baseball-reference.com/teams/MIL/2022.shtml?__hstc=205977932.44b38330ec7980febccadd4973af5225.1679199339564.1682188845733.1682200668877.8&amp;__hssc=205977932.4.1682200668877&amp;__hsfp=3642558235" TargetMode="External"/><Relationship Id="rId169" Type="http://schemas.openxmlformats.org/officeDocument/2006/relationships/hyperlink" Target="https://www.baseball-reference.com/boxes/BAL/BAL202207270.shtml?__hstc=205977932.44b38330ec7980febccadd4973af5225.1679199339564.1682188845733.1682200668877.8&amp;__hssc=205977932.4.1682200668877&amp;__hsfp=3642558235" TargetMode="External"/><Relationship Id="rId334"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355" Type="http://schemas.openxmlformats.org/officeDocument/2006/relationships/hyperlink" Target="https://www.baseball-reference.com/boxes/TBA/TBA202204120.shtml?__hstc=205977932.44b38330ec7980febccadd4973af5225.1679199339564.1682188845733.1682200668877.8&amp;__hssc=205977932.4.1682200668877&amp;__hsfp=3642558235" TargetMode="External"/><Relationship Id="rId4" Type="http://schemas.openxmlformats.org/officeDocument/2006/relationships/hyperlink" Target="https://www.baseball-reference.com/teams/CIN/2023.shtml?__hstc=205977932.44b38330ec7980febccadd4973af5225.1679199339564.1682188845733.1682200668877.8&amp;__hssc=205977932.4.1682200668877&amp;__hsfp=3642558235" TargetMode="External"/><Relationship Id="rId180" Type="http://schemas.openxmlformats.org/officeDocument/2006/relationships/hyperlink" Target="https://www.baseball-reference.com/teams/KCR/2022.shtml?__hstc=205977932.44b38330ec7980febccadd4973af5225.1679199339564.1682188845733.1682200668877.8&amp;__hssc=205977932.4.1682200668877&amp;__hsfp=3642558235" TargetMode="External"/><Relationship Id="rId215" Type="http://schemas.openxmlformats.org/officeDocument/2006/relationships/hyperlink" Target="https://www.baseball-reference.com/boxes/TOR/TOR202206300.shtml?__hstc=205977932.44b38330ec7980febccadd4973af5225.1679199339564.1682188845733.1682200668877.8&amp;__hssc=205977932.4.1682200668877&amp;__hsfp=3642558235" TargetMode="External"/><Relationship Id="rId236"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57" Type="http://schemas.openxmlformats.org/officeDocument/2006/relationships/hyperlink" Target="https://www.baseball-reference.com/boxes/TBA/TBA202206050.shtml?__hstc=205977932.44b38330ec7980febccadd4973af5225.1679199339564.1682188845733.1682200668877.8&amp;__hssc=205977932.4.1682200668877&amp;__hsfp=3642558235" TargetMode="External"/><Relationship Id="rId278"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303" Type="http://schemas.openxmlformats.org/officeDocument/2006/relationships/hyperlink" Target="https://www.baseball-reference.com/boxes/ANA/ANA202205100.shtml?__hstc=205977932.44b38330ec7980febccadd4973af5225.1679199339564.1682188845733.1682200668877.8&amp;__hssc=205977932.4.1682200668877&amp;__hsfp=3642558235" TargetMode="External"/><Relationship Id="rId42"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84"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38"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345" Type="http://schemas.openxmlformats.org/officeDocument/2006/relationships/hyperlink" Target="https://www.baseball-reference.com/boxes/CHA/CHA202204170.shtml?__hstc=205977932.44b38330ec7980febccadd4973af5225.1679199339564.1682188845733.1682200668877.8&amp;__hssc=205977932.4.1682200668877&amp;__hsfp=3642558235" TargetMode="External"/><Relationship Id="rId191" Type="http://schemas.openxmlformats.org/officeDocument/2006/relationships/hyperlink" Target="https://www.baseball-reference.com/boxes/TBA/TBA202207120.shtml?__hstc=205977932.44b38330ec7980febccadd4973af5225.1679199339564.1682188845733.1682200668877.8&amp;__hssc=205977932.4.1682200668877&amp;__hsfp=3642558235" TargetMode="External"/><Relationship Id="rId205" Type="http://schemas.openxmlformats.org/officeDocument/2006/relationships/hyperlink" Target="https://www.baseball-reference.com/boxes/BOS/BOS202207040.shtml?__hstc=205977932.44b38330ec7980febccadd4973af5225.1679199339564.1682188845733.1682200668877.8&amp;__hssc=205977932.4.1682200668877&amp;__hsfp=3642558235" TargetMode="External"/><Relationship Id="rId247" Type="http://schemas.openxmlformats.org/officeDocument/2006/relationships/hyperlink" Target="https://www.baseball-reference.com/boxes/MIN/MIN202206110.shtml?__hstc=205977932.44b38330ec7980febccadd4973af5225.1679199339564.1682188845733.1682200668877.8&amp;__hssc=205977932.4.1682200668877&amp;__hsfp=3642558235" TargetMode="External"/><Relationship Id="rId107" Type="http://schemas.openxmlformats.org/officeDocument/2006/relationships/hyperlink" Target="https://www.baseball-reference.com/boxes/MIA/MIA202208310.shtml?__hstc=205977932.44b38330ec7980febccadd4973af5225.1679199339564.1682188845733.1682200668877.8&amp;__hssc=205977932.4.1682200668877&amp;__hsfp=3642558235" TargetMode="External"/><Relationship Id="rId289" Type="http://schemas.openxmlformats.org/officeDocument/2006/relationships/hyperlink" Target="https://www.baseball-reference.com/boxes/TBA/TBA202205180.shtml?__hstc=205977932.44b38330ec7980febccadd4973af5225.1679199339564.1682188845733.1682200668877.8&amp;__hssc=205977932.4.1682200668877&amp;__hsfp=3642558235" TargetMode="External"/><Relationship Id="rId11" Type="http://schemas.openxmlformats.org/officeDocument/2006/relationships/hyperlink" Target="https://www.baseball-reference.com/boxes/TOR/TOR202304150.shtml?__hstc=205977932.44b38330ec7980febccadd4973af5225.1679199339564.1682188845733.1682200668877.8&amp;__hssc=205977932.4.1682200668877&amp;__hsfp=3642558235" TargetMode="External"/><Relationship Id="rId53" Type="http://schemas.openxmlformats.org/officeDocument/2006/relationships/hyperlink" Target="https://www.baseball-reference.com/boxes/CLE/CLE202209290.shtml?__hstc=205977932.44b38330ec7980febccadd4973af5225.1679199339564.1682188845733.1682200668877.8&amp;__hssc=205977932.4.1682200668877&amp;__hsfp=3642558235" TargetMode="External"/><Relationship Id="rId149" Type="http://schemas.openxmlformats.org/officeDocument/2006/relationships/hyperlink" Target="https://www.baseball-reference.com/boxes/DET/DET202208070.shtml?__hstc=205977932.44b38330ec7980febccadd4973af5225.1679199339564.1682188845733.1682200668877.8&amp;__hssc=205977932.4.1682200668877&amp;__hsfp=3642558235" TargetMode="External"/><Relationship Id="rId314" Type="http://schemas.openxmlformats.org/officeDocument/2006/relationships/hyperlink" Target="https://www.baseball-reference.com/teams/SEA/2022.shtml?__hstc=205977932.44b38330ec7980febccadd4973af5225.1679199339564.1682188845733.1682200668877.8&amp;__hssc=205977932.4.1682200668877&amp;__hsfp=3642558235" TargetMode="External"/><Relationship Id="rId356"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95" Type="http://schemas.openxmlformats.org/officeDocument/2006/relationships/hyperlink" Target="https://www.baseball-reference.com/boxes/TBA/TBA202209070.shtml?__hstc=205977932.44b38330ec7980febccadd4973af5225.1679199339564.1682188845733.1682200668877.8&amp;__hssc=205977932.4.1682200668877&amp;__hsfp=3642558235" TargetMode="External"/><Relationship Id="rId160"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16"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258"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22" Type="http://schemas.openxmlformats.org/officeDocument/2006/relationships/hyperlink" Target="https://www.baseball-reference.com/teams/BOS/2023.shtml?__hstc=205977932.44b38330ec7980febccadd4973af5225.1679199339564.1682188845733.1682200668877.8&amp;__hssc=205977932.4.1682200668877&amp;__hsfp=3642558235" TargetMode="External"/><Relationship Id="rId64"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18"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325" Type="http://schemas.openxmlformats.org/officeDocument/2006/relationships/hyperlink" Target="https://www.baseball-reference.com/boxes/TBA/TBA202204290.shtml?__hstc=205977932.44b38330ec7980febccadd4973af5225.1679199339564.1682188845733.1682200668877.8&amp;__hssc=205977932.4.1682200668877&amp;__hsfp=3642558235" TargetMode="External"/><Relationship Id="rId171" Type="http://schemas.openxmlformats.org/officeDocument/2006/relationships/hyperlink" Target="https://www.baseball-reference.com/boxes/BAL/BAL202207260.shtml?__hstc=205977932.44b38330ec7980febccadd4973af5225.1679199339564.1682188845733.1682200668877.8&amp;__hssc=205977932.4.1682200668877&amp;__hsfp=3642558235" TargetMode="External"/><Relationship Id="rId227" Type="http://schemas.openxmlformats.org/officeDocument/2006/relationships/hyperlink" Target="https://www.baseball-reference.com/boxes/TBA/TBA202206220.shtml?__hstc=205977932.44b38330ec7980febccadd4973af5225.1679199339564.1682188845733.1682200668877.8&amp;__hssc=205977932.4.1682200668877&amp;__hsfp=3642558235" TargetMode="External"/><Relationship Id="rId269" Type="http://schemas.openxmlformats.org/officeDocument/2006/relationships/hyperlink" Target="https://www.baseball-reference.com/boxes/TEX/TEX202205300.shtml?__hstc=205977932.44b38330ec7980febccadd4973af5225.1679199339564.1682188845733.1682200668877.8&amp;__hssc=205977932.4.1682200668877&amp;__hsfp=3642558235" TargetMode="External"/><Relationship Id="rId33" Type="http://schemas.openxmlformats.org/officeDocument/2006/relationships/hyperlink" Target="https://www.baseball-reference.com/boxes/WAS/WAS202304030.shtml?__hstc=205977932.44b38330ec7980febccadd4973af5225.1679199339564.1682188845733.1682200668877.8&amp;__hssc=205977932.4.1682200668877&amp;__hsfp=3642558235" TargetMode="External"/><Relationship Id="rId129" Type="http://schemas.openxmlformats.org/officeDocument/2006/relationships/hyperlink" Target="https://www.baseball-reference.com/boxes/TBA/TBA202208190.shtml?__hstc=205977932.44b38330ec7980febccadd4973af5225.1679199339564.1682188845733.1682200668877.8&amp;__hssc=205977932.4.1682200668877&amp;__hsfp=3642558235" TargetMode="External"/><Relationship Id="rId280" Type="http://schemas.openxmlformats.org/officeDocument/2006/relationships/hyperlink" Target="https://www.baseball-reference.com/teams/MIA/2022.shtml?__hstc=205977932.44b38330ec7980febccadd4973af5225.1679199339564.1682188845733.1682200668877.8&amp;__hssc=205977932.4.1682200668877&amp;__hsfp=3642558235" TargetMode="External"/><Relationship Id="rId336"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75" Type="http://schemas.openxmlformats.org/officeDocument/2006/relationships/hyperlink" Target="https://www.baseball-reference.com/boxes/TBA/TBA202209170.shtml?__hstc=205977932.44b38330ec7980febccadd4973af5225.1679199339564.1682188845733.1682200668877.8&amp;__hssc=205977932.4.1682200668877&amp;__hsfp=3642558235" TargetMode="External"/><Relationship Id="rId140"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182"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6" Type="http://schemas.openxmlformats.org/officeDocument/2006/relationships/hyperlink" Target="https://www.baseball-reference.com/teams/CIN/2023.shtml?__hstc=205977932.44b38330ec7980febccadd4973af5225.1679199339564.1682188845733.1682200668877.8&amp;__hssc=205977932.4.1682200668877&amp;__hsfp=3642558235" TargetMode="External"/><Relationship Id="rId238"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91" Type="http://schemas.openxmlformats.org/officeDocument/2006/relationships/hyperlink" Target="https://www.baseball-reference.com/boxes/TBA/TBA202205170.shtml?__hstc=205977932.44b38330ec7980febccadd4973af5225.1679199339564.1682188845733.1682200668877.8&amp;__hssc=205977932.4.1682200668877&amp;__hsfp=3642558235" TargetMode="External"/><Relationship Id="rId305" Type="http://schemas.openxmlformats.org/officeDocument/2006/relationships/hyperlink" Target="https://www.baseball-reference.com/boxes/ANA/ANA202205090.shtml?__hstc=205977932.44b38330ec7980febccadd4973af5225.1679199339564.1682188845733.1682200668877.8&amp;__hssc=205977932.4.1682200668877&amp;__hsfp=3642558235" TargetMode="External"/><Relationship Id="rId347" Type="http://schemas.openxmlformats.org/officeDocument/2006/relationships/hyperlink" Target="https://www.baseball-reference.com/boxes/CHA/CHA202204160.shtml?__hstc=205977932.44b38330ec7980febccadd4973af5225.1679199339564.1682188845733.1682200668877.8&amp;__hssc=205977932.4.1682200668877&amp;__hsfp=3642558235" TargetMode="External"/><Relationship Id="rId44"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86"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51" Type="http://schemas.openxmlformats.org/officeDocument/2006/relationships/hyperlink" Target="https://www.baseball-reference.com/boxes/DET/DET202208060.shtml?__hstc=205977932.44b38330ec7980febccadd4973af5225.1679199339564.1682188845733.1682200668877.8&amp;__hssc=205977932.4.1682200668877&amp;__hsfp=3642558235" TargetMode="External"/><Relationship Id="rId193" Type="http://schemas.openxmlformats.org/officeDocument/2006/relationships/hyperlink" Target="https://www.baseball-reference.com/boxes/TBA/TBA202207110.shtml?__hstc=205977932.44b38330ec7980febccadd4973af5225.1679199339564.1682188845733.1682200668877.8&amp;__hssc=205977932.4.1682200668877&amp;__hsfp=3642558235" TargetMode="External"/><Relationship Id="rId207" Type="http://schemas.openxmlformats.org/officeDocument/2006/relationships/hyperlink" Target="https://www.baseball-reference.com/boxes/TOR/TOR202207030.shtml?__hstc=205977932.44b38330ec7980febccadd4973af5225.1679199339564.1682188845733.1682200668877.8&amp;__hssc=205977932.4.1682200668877&amp;__hsfp=3642558235" TargetMode="External"/><Relationship Id="rId249" Type="http://schemas.openxmlformats.org/officeDocument/2006/relationships/hyperlink" Target="https://www.baseball-reference.com/boxes/MIN/MIN202206100.shtml?__hstc=205977932.44b38330ec7980febccadd4973af5225.1679199339564.1682188845733.1682200668877.8&amp;__hssc=205977932.4.1682200668877&amp;__hsfp=3642558235" TargetMode="External"/><Relationship Id="rId13" Type="http://schemas.openxmlformats.org/officeDocument/2006/relationships/hyperlink" Target="https://www.baseball-reference.com/boxes/TOR/TOR202304140.shtml?__hstc=205977932.44b38330ec7980febccadd4973af5225.1679199339564.1682188845733.1682200668877.8&amp;__hssc=205977932.4.1682200668877&amp;__hsfp=3642558235" TargetMode="External"/><Relationship Id="rId109" Type="http://schemas.openxmlformats.org/officeDocument/2006/relationships/hyperlink" Target="https://www.baseball-reference.com/boxes/MIA/MIA202208300.shtml?__hstc=205977932.44b38330ec7980febccadd4973af5225.1679199339564.1682188845733.1682200668877.8&amp;__hssc=205977932.4.1682200668877&amp;__hsfp=3642558235" TargetMode="External"/><Relationship Id="rId260" Type="http://schemas.openxmlformats.org/officeDocument/2006/relationships/hyperlink" Target="https://www.baseball-reference.com/teams/CHW/2022.shtml?__hstc=205977932.44b38330ec7980febccadd4973af5225.1679199339564.1682188845733.1682200668877.8&amp;__hssc=205977932.4.1682200668877&amp;__hsfp=3642558235" TargetMode="External"/><Relationship Id="rId316"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55" Type="http://schemas.openxmlformats.org/officeDocument/2006/relationships/hyperlink" Target="https://www.baseball-reference.com/boxes/CLE/CLE202209280.shtml?__hstc=205977932.44b38330ec7980febccadd4973af5225.1679199339564.1682188845733.1682200668877.8&amp;__hssc=205977932.4.1682200668877&amp;__hsfp=3642558235" TargetMode="External"/><Relationship Id="rId97" Type="http://schemas.openxmlformats.org/officeDocument/2006/relationships/hyperlink" Target="https://www.baseball-reference.com/boxes/TBA/TBA202209060.shtml?__hstc=205977932.44b38330ec7980febccadd4973af5225.1679199339564.1682188845733.1682200668877.8&amp;__hssc=205977932.4.1682200668877&amp;__hsfp=3642558235" TargetMode="External"/><Relationship Id="rId120" Type="http://schemas.openxmlformats.org/officeDocument/2006/relationships/hyperlink" Target="https://www.baseball-reference.com/teams/LAA/2022.shtml?__hstc=205977932.44b38330ec7980febccadd4973af5225.1679199339564.1682188845733.1682200668877.8&amp;__hssc=205977932.4.1682200668877&amp;__hsfp=3642558235" TargetMode="External"/><Relationship Id="rId358" Type="http://schemas.openxmlformats.org/officeDocument/2006/relationships/hyperlink" Target="https://www.baseball-reference.com/teams/OAK/2022.shtml?__hstc=205977932.44b38330ec7980febccadd4973af5225.1679199339564.1682188845733.1682200668877.8&amp;__hssc=205977932.4.1682200668877&amp;__hsfp=3642558235" TargetMode="External"/><Relationship Id="rId162" Type="http://schemas.openxmlformats.org/officeDocument/2006/relationships/hyperlink" Target="https://www.baseball-reference.com/teams/CLE/2022.shtml?__hstc=205977932.44b38330ec7980febccadd4973af5225.1679199339564.1682188845733.1682200668877.8&amp;__hssc=205977932.4.1682200668877&amp;__hsfp=3642558235" TargetMode="External"/><Relationship Id="rId218" Type="http://schemas.openxmlformats.org/officeDocument/2006/relationships/hyperlink" Target="https://www.baseball-reference.com/teams/MIL/2022.shtml?__hstc=205977932.44b38330ec7980febccadd4973af5225.1679199339564.1682188845733.1682200668877.8&amp;__hssc=205977932.4.1682200668877&amp;__hsfp=3642558235" TargetMode="External"/><Relationship Id="rId271" Type="http://schemas.openxmlformats.org/officeDocument/2006/relationships/hyperlink" Target="https://www.baseball-reference.com/boxes/TBA/TBA202205290.shtml?__hstc=205977932.44b38330ec7980febccadd4973af5225.1679199339564.1682188845733.1682200668877.8&amp;__hssc=205977932.4.1682200668877&amp;__hsfp=3642558235" TargetMode="External"/><Relationship Id="rId24" Type="http://schemas.openxmlformats.org/officeDocument/2006/relationships/hyperlink" Target="https://www.baseball-reference.com/teams/OAK/2023.shtml?__hstc=205977932.44b38330ec7980febccadd4973af5225.1679199339564.1682188845733.1682200668877.8&amp;__hssc=205977932.4.1682200668877&amp;__hsfp=3642558235" TargetMode="External"/><Relationship Id="rId66"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31" Type="http://schemas.openxmlformats.org/officeDocument/2006/relationships/hyperlink" Target="https://www.baseball-reference.com/boxes/TBA/TBA202208180.shtml?__hstc=205977932.44b38330ec7980febccadd4973af5225.1679199339564.1682188845733.1682200668877.8&amp;__hssc=205977932.4.1682200668877&amp;__hsfp=3642558235" TargetMode="External"/><Relationship Id="rId327" Type="http://schemas.openxmlformats.org/officeDocument/2006/relationships/hyperlink" Target="https://www.baseball-reference.com/boxes/TBA/TBA202204280.shtml?__hstc=205977932.44b38330ec7980febccadd4973af5225.1679199339564.1682188845733.1682200668877.8&amp;__hssc=205977932.4.1682200668877&amp;__hsfp=3642558235" TargetMode="External"/><Relationship Id="rId173" Type="http://schemas.openxmlformats.org/officeDocument/2006/relationships/hyperlink" Target="https://www.baseball-reference.com/boxes/BAL/BAL202207250.shtml?__hstc=205977932.44b38330ec7980febccadd4973af5225.1679199339564.1682188845733.1682200668877.8&amp;__hssc=205977932.4.1682200668877&amp;__hsfp=3642558235" TargetMode="External"/><Relationship Id="rId229" Type="http://schemas.openxmlformats.org/officeDocument/2006/relationships/hyperlink" Target="https://www.baseball-reference.com/boxes/TBA/TBA202206210.shtml?__hstc=205977932.44b38330ec7980febccadd4973af5225.1679199339564.1682188845733.1682200668877.8&amp;__hssc=205977932.4.1682200668877&amp;__hsfp=3642558235" TargetMode="External"/><Relationship Id="rId240" Type="http://schemas.openxmlformats.org/officeDocument/2006/relationships/hyperlink" Target="https://www.baseball-reference.com/teams/NYY/2022.shtml?__hstc=205977932.44b38330ec7980febccadd4973af5225.1679199339564.1682188845733.1682200668877.8&amp;__hssc=205977932.4.1682200668877&amp;__hsfp=3642558235" TargetMode="External"/><Relationship Id="rId35" Type="http://schemas.openxmlformats.org/officeDocument/2006/relationships/hyperlink" Target="https://www.baseball-reference.com/boxes/TBA/TBA202304020.shtml?__hstc=205977932.44b38330ec7980febccadd4973af5225.1679199339564.1682188845733.1682200668877.8&amp;__hssc=205977932.4.1682200668877&amp;__hsfp=3642558235" TargetMode="External"/><Relationship Id="rId77" Type="http://schemas.openxmlformats.org/officeDocument/2006/relationships/hyperlink" Target="https://www.baseball-reference.com/boxes/TBA/TBA202209160.shtml?__hstc=205977932.44b38330ec7980febccadd4973af5225.1679199339564.1682188845733.1682200668877.8&amp;__hssc=205977932.4.1682200668877&amp;__hsfp=3642558235" TargetMode="External"/><Relationship Id="rId100"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82" Type="http://schemas.openxmlformats.org/officeDocument/2006/relationships/hyperlink" Target="https://www.baseball-reference.com/teams/MIA/2022.shtml?__hstc=205977932.44b38330ec7980febccadd4973af5225.1679199339564.1682188845733.1682200668877.8&amp;__hssc=205977932.4.1682200668877&amp;__hsfp=3642558235" TargetMode="External"/><Relationship Id="rId338"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8" Type="http://schemas.openxmlformats.org/officeDocument/2006/relationships/hyperlink" Target="https://www.baseball-reference.com/teams/CIN/2023.shtml?__hstc=205977932.44b38330ec7980febccadd4973af5225.1679199339564.1682188845733.1682200668877.8&amp;__hssc=205977932.4.1682200668877&amp;__hsfp=3642558235" TargetMode="External"/><Relationship Id="rId142"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184"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 Id="rId251" Type="http://schemas.openxmlformats.org/officeDocument/2006/relationships/hyperlink" Target="https://www.baseball-reference.com/boxes/TBA/TBA202206090.shtml?__hstc=205977932.44b38330ec7980febccadd4973af5225.1679199339564.1682188845733.1682200668877.8&amp;__hssc=205977932.4.1682200668877&amp;__hsfp=3642558235" TargetMode="External"/><Relationship Id="rId46" Type="http://schemas.openxmlformats.org/officeDocument/2006/relationships/hyperlink" Target="https://www.baseball-reference.com/teams/BOS/2022.shtml?__hstc=205977932.44b38330ec7980febccadd4973af5225.1679199339564.1682188845733.1682200668877.8&amp;__hssc=205977932.4.1682200668877&amp;__hsfp=3642558235" TargetMode="External"/><Relationship Id="rId293" Type="http://schemas.openxmlformats.org/officeDocument/2006/relationships/hyperlink" Target="https://www.baseball-reference.com/boxes/TBA/TBA202205160.shtml?__hstc=205977932.44b38330ec7980febccadd4973af5225.1679199339564.1682188845733.1682200668877.8&amp;__hssc=205977932.4.1682200668877&amp;__hsfp=3642558235" TargetMode="External"/><Relationship Id="rId307" Type="http://schemas.openxmlformats.org/officeDocument/2006/relationships/hyperlink" Target="https://www.baseball-reference.com/boxes/SEA/SEA202205080.shtml?__hstc=205977932.44b38330ec7980febccadd4973af5225.1679199339564.1682188845733.1682200668877.8&amp;__hssc=205977932.4.1682200668877&amp;__hsfp=3642558235" TargetMode="External"/><Relationship Id="rId349" Type="http://schemas.openxmlformats.org/officeDocument/2006/relationships/hyperlink" Target="https://www.baseball-reference.com/boxes/CHA/CHA202204150.shtml?__hstc=205977932.44b38330ec7980febccadd4973af5225.1679199339564.1682188845733.1682200668877.8&amp;__hssc=205977932.4.1682200668877&amp;__hsfp=3642558235" TargetMode="External"/><Relationship Id="rId88" Type="http://schemas.openxmlformats.org/officeDocument/2006/relationships/hyperlink" Target="https://www.baseball-reference.com/teams/TOR/2022.shtml?__hstc=205977932.44b38330ec7980febccadd4973af5225.1679199339564.1682188845733.1682200668877.8&amp;__hssc=205977932.4.1682200668877&amp;__hsfp=3642558235" TargetMode="External"/><Relationship Id="rId111" Type="http://schemas.openxmlformats.org/officeDocument/2006/relationships/hyperlink" Target="https://www.baseball-reference.com/boxes/BOS/BOS202208280.shtml?__hstc=205977932.44b38330ec7980febccadd4973af5225.1679199339564.1682188845733.1682200668877.8&amp;__hssc=205977932.4.1682200668877&amp;__hsfp=3642558235" TargetMode="External"/><Relationship Id="rId153" Type="http://schemas.openxmlformats.org/officeDocument/2006/relationships/hyperlink" Target="https://www.baseball-reference.com/boxes/DET/DET202208050.shtml?__hstc=205977932.44b38330ec7980febccadd4973af5225.1679199339564.1682188845733.1682200668877.8&amp;__hssc=205977932.4.1682200668877&amp;__hsfp=3642558235" TargetMode="External"/><Relationship Id="rId195" Type="http://schemas.openxmlformats.org/officeDocument/2006/relationships/hyperlink" Target="https://www.baseball-reference.com/boxes/CIN/CIN202207100.shtml?__hstc=205977932.44b38330ec7980febccadd4973af5225.1679199339564.1682188845733.1682200668877.8&amp;__hssc=205977932.4.1682200668877&amp;__hsfp=3642558235" TargetMode="External"/><Relationship Id="rId209" Type="http://schemas.openxmlformats.org/officeDocument/2006/relationships/hyperlink" Target="https://www.baseball-reference.com/boxes/TOR/TOR202207022.shtml?__hstc=205977932.44b38330ec7980febccadd4973af5225.1679199339564.1682188845733.1682200668877.8&amp;__hssc=205977932.4.1682200668877&amp;__hsfp=3642558235" TargetMode="External"/><Relationship Id="rId360" Type="http://schemas.openxmlformats.org/officeDocument/2006/relationships/hyperlink" Target="https://www.baseball-reference.com/teams/BAL/2022.shtml?__hstc=205977932.44b38330ec7980febccadd4973af5225.1679199339564.1682188845733.1682200668877.8&amp;__hssc=205977932.4.1682200668877&amp;__hsfp=3642558235" TargetMode="Externa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A25A8-9F56-4688-A4D0-5CB98B04070E}">
  <sheetPr codeName="Sheet1">
    <tabColor theme="9"/>
  </sheetPr>
  <dimension ref="A1:A31"/>
  <sheetViews>
    <sheetView tabSelected="1" workbookViewId="0">
      <selection activeCell="A2" sqref="A2"/>
    </sheetView>
  </sheetViews>
  <sheetFormatPr defaultRowHeight="15" x14ac:dyDescent="0.25"/>
  <cols>
    <col min="1" max="1" width="57.5703125" customWidth="1"/>
  </cols>
  <sheetData>
    <row r="1" spans="1:1" x14ac:dyDescent="0.25">
      <c r="A1" t="s">
        <v>229</v>
      </c>
    </row>
    <row r="2" spans="1:1" x14ac:dyDescent="0.25">
      <c r="A2" s="40">
        <f ca="1">TODAY()</f>
        <v>45419</v>
      </c>
    </row>
    <row r="3" spans="1:1" x14ac:dyDescent="0.25">
      <c r="A3" s="66"/>
    </row>
    <row r="4" spans="1:1" x14ac:dyDescent="0.25">
      <c r="A4" s="66"/>
    </row>
    <row r="5" spans="1:1" x14ac:dyDescent="0.25">
      <c r="A5" s="66"/>
    </row>
    <row r="6" spans="1:1" x14ac:dyDescent="0.25">
      <c r="A6" s="66"/>
    </row>
    <row r="7" spans="1:1" x14ac:dyDescent="0.25">
      <c r="A7" s="66"/>
    </row>
    <row r="8" spans="1:1" x14ac:dyDescent="0.25">
      <c r="A8" s="66"/>
    </row>
    <row r="9" spans="1:1" x14ac:dyDescent="0.25">
      <c r="A9" s="66"/>
    </row>
    <row r="10" spans="1:1" x14ac:dyDescent="0.25">
      <c r="A10" s="66"/>
    </row>
    <row r="11" spans="1:1" x14ac:dyDescent="0.25">
      <c r="A11" s="66"/>
    </row>
    <row r="12" spans="1:1" x14ac:dyDescent="0.25">
      <c r="A12" s="66"/>
    </row>
    <row r="13" spans="1:1" x14ac:dyDescent="0.25">
      <c r="A13" s="66"/>
    </row>
    <row r="14" spans="1:1" x14ac:dyDescent="0.25">
      <c r="A14" s="66"/>
    </row>
    <row r="15" spans="1:1" x14ac:dyDescent="0.25">
      <c r="A15" s="66"/>
    </row>
    <row r="16" spans="1:1" x14ac:dyDescent="0.25">
      <c r="A16" s="66"/>
    </row>
    <row r="17" spans="1:1" x14ac:dyDescent="0.25">
      <c r="A17" s="66"/>
    </row>
    <row r="18" spans="1:1" x14ac:dyDescent="0.25">
      <c r="A18" s="66"/>
    </row>
    <row r="19" spans="1:1" x14ac:dyDescent="0.25">
      <c r="A19" s="66"/>
    </row>
    <row r="20" spans="1:1" x14ac:dyDescent="0.25">
      <c r="A20" s="66"/>
    </row>
    <row r="21" spans="1:1" x14ac:dyDescent="0.25">
      <c r="A21" s="66"/>
    </row>
    <row r="22" spans="1:1" x14ac:dyDescent="0.25">
      <c r="A22" s="66"/>
    </row>
    <row r="23" spans="1:1" x14ac:dyDescent="0.25">
      <c r="A23" s="66"/>
    </row>
    <row r="24" spans="1:1" x14ac:dyDescent="0.25">
      <c r="A24" s="66"/>
    </row>
    <row r="25" spans="1:1" x14ac:dyDescent="0.25">
      <c r="A25" s="66"/>
    </row>
    <row r="26" spans="1:1" x14ac:dyDescent="0.25">
      <c r="A26" s="66"/>
    </row>
    <row r="27" spans="1:1" x14ac:dyDescent="0.25">
      <c r="A27" s="66"/>
    </row>
    <row r="28" spans="1:1" x14ac:dyDescent="0.25">
      <c r="A28" s="66"/>
    </row>
    <row r="29" spans="1:1" x14ac:dyDescent="0.25">
      <c r="A29" s="66"/>
    </row>
    <row r="30" spans="1:1" x14ac:dyDescent="0.25">
      <c r="A30" s="66"/>
    </row>
    <row r="31" spans="1:1" x14ac:dyDescent="0.25">
      <c r="A31" s="6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F586-2414-4888-A09C-E2D61091198F}">
  <sheetPr codeName="Sheet2">
    <tabColor theme="8"/>
  </sheetPr>
  <dimension ref="L4:T32"/>
  <sheetViews>
    <sheetView showGridLines="0" zoomScaleNormal="100" workbookViewId="0">
      <selection activeCell="M3" sqref="M3"/>
    </sheetView>
  </sheetViews>
  <sheetFormatPr defaultRowHeight="15" x14ac:dyDescent="0.25"/>
  <cols>
    <col min="1" max="1" width="9.140625" style="16"/>
    <col min="2" max="2" width="12.5703125" style="16" bestFit="1" customWidth="1"/>
    <col min="3" max="3" width="9.7109375" style="16" bestFit="1" customWidth="1"/>
    <col min="4" max="11" width="9.140625" style="16"/>
    <col min="12" max="12" width="12.5703125" style="16" bestFit="1" customWidth="1"/>
    <col min="13" max="13" width="13.42578125" style="16" customWidth="1"/>
    <col min="14" max="14" width="9.140625" style="16"/>
    <col min="15" max="15" width="12.5703125" style="16" customWidth="1"/>
    <col min="16" max="16" width="10.28515625" style="16" customWidth="1"/>
    <col min="17" max="16384" width="9.140625" style="16"/>
  </cols>
  <sheetData>
    <row r="4" spans="12:17" ht="15.75" thickBot="1" x14ac:dyDescent="0.3"/>
    <row r="5" spans="12:17" ht="30" customHeight="1" thickTop="1" thickBot="1" x14ac:dyDescent="0.3">
      <c r="L5" s="73" t="s">
        <v>169</v>
      </c>
      <c r="M5" s="74"/>
      <c r="N5" s="74"/>
      <c r="O5" s="74"/>
      <c r="P5" s="74"/>
      <c r="Q5" s="75"/>
    </row>
    <row r="6" spans="12:17" x14ac:dyDescent="0.25">
      <c r="L6" s="17"/>
      <c r="M6" s="18"/>
      <c r="N6" s="18"/>
      <c r="O6" s="18"/>
      <c r="P6" s="18"/>
      <c r="Q6" s="19"/>
    </row>
    <row r="7" spans="12:17" x14ac:dyDescent="0.25">
      <c r="L7" s="17" t="s">
        <v>170</v>
      </c>
      <c r="M7" s="22"/>
      <c r="N7" s="18"/>
      <c r="O7" s="18" t="s">
        <v>186</v>
      </c>
      <c r="P7" s="15"/>
      <c r="Q7" s="19"/>
    </row>
    <row r="8" spans="12:17" x14ac:dyDescent="0.25">
      <c r="L8" s="17"/>
      <c r="M8" s="18"/>
      <c r="N8" s="18"/>
      <c r="O8" s="18"/>
      <c r="P8" s="18"/>
      <c r="Q8" s="19"/>
    </row>
    <row r="9" spans="12:17" x14ac:dyDescent="0.25">
      <c r="L9" s="76" t="s">
        <v>171</v>
      </c>
      <c r="M9" s="18"/>
      <c r="N9" s="18"/>
      <c r="O9" s="77"/>
      <c r="P9" s="78"/>
      <c r="Q9" s="19"/>
    </row>
    <row r="10" spans="12:17" ht="18" customHeight="1" x14ac:dyDescent="0.25">
      <c r="L10" s="76"/>
      <c r="M10" s="18"/>
      <c r="N10" s="18"/>
      <c r="O10" s="79"/>
      <c r="P10" s="80"/>
      <c r="Q10" s="19"/>
    </row>
    <row r="11" spans="12:17" x14ac:dyDescent="0.25">
      <c r="L11" s="17"/>
      <c r="M11" s="18"/>
      <c r="N11" s="18"/>
      <c r="O11" s="18"/>
      <c r="P11" s="18"/>
      <c r="Q11" s="19"/>
    </row>
    <row r="12" spans="12:17" x14ac:dyDescent="0.25">
      <c r="L12" s="17" t="s">
        <v>172</v>
      </c>
      <c r="M12" s="24"/>
      <c r="N12" s="18"/>
      <c r="O12" s="18" t="s">
        <v>224</v>
      </c>
      <c r="P12" s="24"/>
      <c r="Q12" s="19"/>
    </row>
    <row r="13" spans="12:17" x14ac:dyDescent="0.25">
      <c r="L13" s="17"/>
      <c r="M13" s="18"/>
      <c r="N13" s="18"/>
      <c r="O13" s="18"/>
      <c r="P13" s="18"/>
      <c r="Q13" s="19"/>
    </row>
    <row r="14" spans="12:17" x14ac:dyDescent="0.25">
      <c r="L14" s="17" t="s">
        <v>173</v>
      </c>
      <c r="M14" s="24"/>
      <c r="N14" s="18"/>
      <c r="O14" s="18" t="s">
        <v>174</v>
      </c>
      <c r="P14" s="24"/>
      <c r="Q14" s="19"/>
    </row>
    <row r="15" spans="12:17" x14ac:dyDescent="0.25">
      <c r="L15" s="17"/>
      <c r="M15" s="18"/>
      <c r="N15" s="18"/>
      <c r="O15" s="18"/>
      <c r="P15" s="18"/>
      <c r="Q15" s="19"/>
    </row>
    <row r="16" spans="12:17" x14ac:dyDescent="0.25">
      <c r="L16" s="17" t="s">
        <v>208</v>
      </c>
      <c r="M16" s="67" t="str">
        <f>IF((M14-P14-P16-M18) = 0, "", (M14-P14-P16-M18))</f>
        <v/>
      </c>
      <c r="N16" s="18"/>
      <c r="O16" s="18" t="s">
        <v>209</v>
      </c>
      <c r="P16" s="24"/>
      <c r="Q16" s="19"/>
    </row>
    <row r="17" spans="12:20" x14ac:dyDescent="0.25">
      <c r="L17" s="17"/>
      <c r="M17" s="18"/>
      <c r="N17" s="18"/>
      <c r="O17" s="18"/>
      <c r="P17" s="18"/>
      <c r="Q17" s="19"/>
    </row>
    <row r="18" spans="12:20" x14ac:dyDescent="0.25">
      <c r="L18" s="17" t="s">
        <v>210</v>
      </c>
      <c r="M18" s="24"/>
      <c r="N18" s="18"/>
      <c r="O18" s="18" t="s">
        <v>177</v>
      </c>
      <c r="P18" s="24"/>
      <c r="Q18" s="19"/>
    </row>
    <row r="19" spans="12:20" x14ac:dyDescent="0.25">
      <c r="L19" s="17"/>
      <c r="M19" s="18"/>
      <c r="N19" s="18"/>
      <c r="O19" s="18"/>
      <c r="P19" s="18"/>
      <c r="Q19" s="19"/>
    </row>
    <row r="20" spans="12:20" x14ac:dyDescent="0.25">
      <c r="L20" s="17" t="s">
        <v>178</v>
      </c>
      <c r="M20" s="24"/>
      <c r="N20" s="18"/>
      <c r="O20" s="18" t="s">
        <v>205</v>
      </c>
      <c r="P20" s="24"/>
      <c r="Q20" s="19"/>
    </row>
    <row r="21" spans="12:20" x14ac:dyDescent="0.25">
      <c r="L21" s="17"/>
      <c r="M21" s="18"/>
      <c r="N21" s="18"/>
      <c r="O21" s="18"/>
      <c r="P21" s="18"/>
      <c r="Q21" s="19"/>
    </row>
    <row r="22" spans="12:20" x14ac:dyDescent="0.25">
      <c r="L22" s="17" t="s">
        <v>206</v>
      </c>
      <c r="M22" s="24"/>
      <c r="N22" s="18"/>
      <c r="O22" s="18"/>
      <c r="P22" s="18"/>
      <c r="Q22" s="19"/>
      <c r="T22" s="23"/>
    </row>
    <row r="23" spans="12:20" x14ac:dyDescent="0.25">
      <c r="L23" s="17"/>
      <c r="M23" s="18"/>
      <c r="N23" s="18"/>
      <c r="O23" s="18"/>
      <c r="P23" s="18"/>
      <c r="Q23" s="19"/>
    </row>
    <row r="24" spans="12:20" x14ac:dyDescent="0.25">
      <c r="L24" s="17" t="s">
        <v>176</v>
      </c>
      <c r="M24" s="24"/>
      <c r="N24" s="18"/>
      <c r="O24" s="18" t="s">
        <v>175</v>
      </c>
      <c r="P24" s="24"/>
      <c r="Q24" s="19"/>
    </row>
    <row r="25" spans="12:20" x14ac:dyDescent="0.25">
      <c r="L25" s="17"/>
      <c r="M25" s="18"/>
      <c r="N25" s="18"/>
      <c r="O25" s="18"/>
      <c r="P25" s="18"/>
      <c r="Q25" s="19"/>
    </row>
    <row r="26" spans="12:20" x14ac:dyDescent="0.25">
      <c r="L26" s="17" t="s">
        <v>184</v>
      </c>
      <c r="M26" s="24"/>
      <c r="N26" s="18"/>
      <c r="O26" s="18" t="s">
        <v>185</v>
      </c>
      <c r="P26" s="24"/>
      <c r="Q26" s="19"/>
    </row>
    <row r="27" spans="12:20" x14ac:dyDescent="0.25">
      <c r="L27" s="17"/>
      <c r="M27" s="18"/>
      <c r="N27" s="18"/>
      <c r="O27" s="18"/>
      <c r="P27" s="18"/>
      <c r="Q27" s="19"/>
    </row>
    <row r="28" spans="12:20" x14ac:dyDescent="0.25">
      <c r="L28" s="83" t="s">
        <v>179</v>
      </c>
      <c r="M28" s="81"/>
      <c r="N28" s="18"/>
      <c r="O28" s="18" t="s">
        <v>175</v>
      </c>
      <c r="P28" s="18" t="s">
        <v>181</v>
      </c>
      <c r="Q28" s="19"/>
    </row>
    <row r="29" spans="12:20" x14ac:dyDescent="0.25">
      <c r="L29" s="84"/>
      <c r="M29" s="82"/>
      <c r="N29" s="18"/>
      <c r="O29" s="67" t="str">
        <f>IF(P24="","",P24)</f>
        <v/>
      </c>
      <c r="P29" s="25"/>
      <c r="Q29" s="19"/>
    </row>
    <row r="30" spans="12:20" x14ac:dyDescent="0.25">
      <c r="L30" s="17"/>
      <c r="M30" s="18"/>
      <c r="N30" s="18"/>
      <c r="O30" s="18"/>
      <c r="P30" s="18"/>
      <c r="Q30" s="19"/>
    </row>
    <row r="31" spans="12:20" ht="15.75" thickBot="1" x14ac:dyDescent="0.3">
      <c r="L31" s="26"/>
      <c r="M31" s="20"/>
      <c r="N31" s="20"/>
      <c r="O31" s="20"/>
      <c r="P31" s="20"/>
      <c r="Q31" s="21"/>
    </row>
    <row r="32" spans="12:20" ht="15.75" thickTop="1" x14ac:dyDescent="0.25"/>
  </sheetData>
  <scenarios current="0" show="0">
    <scenario name="BlankInput" locked="1" count="16" user="Koby Manning" comment="Created by Koby Manning on 4/22/2023_x000a_Modified by Koby Manning on 4/22/2023">
      <inputCells r="M7" val="" numFmtId="14"/>
      <inputCells r="M12" val=""/>
      <inputCells r="M14" val=""/>
      <inputCells r="M18" val=""/>
      <inputCells r="M20" val=""/>
      <inputCells r="M22" val=""/>
      <inputCells r="M24" val=""/>
      <inputCells r="M26" val=""/>
      <inputCells r="P24" val=""/>
      <inputCells r="P26" val=""/>
      <inputCells r="P29" val=""/>
      <inputCells r="P20" val=""/>
      <inputCells r="P18" val=""/>
      <inputCells r="P16" val=""/>
      <inputCells r="P14" val=""/>
      <inputCells r="P12" val=""/>
    </scenario>
  </scenarios>
  <mergeCells count="5">
    <mergeCell ref="L5:Q5"/>
    <mergeCell ref="L9:L10"/>
    <mergeCell ref="O9:P10"/>
    <mergeCell ref="M28:M29"/>
    <mergeCell ref="L28:L29"/>
  </mergeCells>
  <dataValidations count="18">
    <dataValidation type="whole" allowBlank="1" showInputMessage="1" showErrorMessage="1" errorTitle="Invalid Data" error="Please ensure your input is a positive whole number between 1 and 100" promptTitle="At-Bat Input" prompt="Please insert the number of At-Bats by the Rays" sqref="M12" xr:uid="{DF6EECD9-0A67-4855-8C7B-9B5E63C4514E}">
      <formula1>0</formula1>
      <formula2>100</formula2>
    </dataValidation>
    <dataValidation type="whole" showInputMessage="1" showErrorMessage="1" errorTitle="Invalid Data" error="Please ensure your value is a positive whole number between 0 and 30" promptTitle="Hits Input" prompt="Please insert the number of hits by the Rays" sqref="M14" xr:uid="{CF370D2D-7F52-4D5E-BE7D-A1838907E3C2}">
      <formula1>0</formula1>
      <formula2>30</formula2>
    </dataValidation>
    <dataValidation type="whole" operator="greaterThanOrEqual" showInputMessage="1" showErrorMessage="1" errorTitle="Invalid Data" error="Please insert a whole number greater than or equal to 0" promptTitle="Home Run Insert" prompt="Please insert the number of home runs hit by the Rays" sqref="P14" xr:uid="{6949375F-F590-4C1B-B9C9-FFD5EFE1AC11}">
      <formula1>0</formula1>
    </dataValidation>
    <dataValidation type="whole" operator="greaterThanOrEqual" allowBlank="1" showInputMessage="1" showErrorMessage="1" errorTitle="Invalid Data" error="Please insert a whole number greater than or equal to 0" promptTitle="RBI Insert" prompt="Please insert the number of Runs Batted In by the Rays" sqref="M24" xr:uid="{356D3693-9B9F-4F9D-A517-2E290A95C9CF}">
      <formula1>0</formula1>
    </dataValidation>
    <dataValidation type="whole" operator="greaterThanOrEqual" allowBlank="1" showInputMessage="1" showErrorMessage="1" errorTitle="Invalid Data" error="Please insert a whole number greater than or equal to 0" promptTitle="Runs Insert" prompt="Please insert the number of Runs scored by the Rays" sqref="P24" xr:uid="{9D3E8A54-DCBE-4543-83A6-E6E7C1EA1DFD}">
      <formula1>0</formula1>
    </dataValidation>
    <dataValidation type="whole" operator="greaterThanOrEqual" allowBlank="1" showInputMessage="1" showErrorMessage="1" errorTitle="Invalid Data" error="Please insert a whole number greater than or equal to 0" promptTitle="Strikeout Insert" prompt="Please insert the number of strikeouts recorded by Rays Batters" sqref="P18" xr:uid="{C19CD055-40C7-45A2-9014-2A5D5D57569B}">
      <formula1>0</formula1>
    </dataValidation>
    <dataValidation type="whole" operator="greaterThanOrEqual" showInputMessage="1" showErrorMessage="1" errorTitle="Invalid data" error="Please insert a value greater than or equal to 0" promptTitle="Walks Insert" prompt="Please insert the number of walks recorded by Rays batters" sqref="M20" xr:uid="{B0C31D0A-07AF-4921-BC1B-AD8A350634AA}">
      <formula1>0</formula1>
    </dataValidation>
    <dataValidation type="whole" operator="greaterThanOrEqual" showInputMessage="1" showErrorMessage="1" errorTitle="Invalid Data" error="Please insert a whole number greater than or equal to 0" promptTitle="Runs Allowed Insert" prompt="Please insert the number of runs allowed by Rays pitching" sqref="P29" xr:uid="{A7E8621B-C8EC-4DA9-A411-7A42DBD5186C}">
      <formula1>0</formula1>
    </dataValidation>
    <dataValidation type="whole" operator="greaterThanOrEqual" allowBlank="1" showInputMessage="1" showErrorMessage="1" errorTitle="Invalid Input" error="Please insert a whole number greater than or equal to 0" promptTitle="Stolen Base Input" prompt="Please insert the number of Stolen Bases by the Rays" sqref="M26" xr:uid="{56FCEE6A-F4C9-4B5D-9E22-13BB84C69B34}">
      <formula1>0</formula1>
    </dataValidation>
    <dataValidation type="whole" operator="greaterThanOrEqual" allowBlank="1" showInputMessage="1" showErrorMessage="1" errorTitle="Invalid Data" error="Please insert a whole number greater than or equal to 0" promptTitle="Caught Stealing Input" prompt="Please insert the number of times the Rays were caught trying to steal a base" sqref="P26" xr:uid="{F7D1BA1E-4AE9-49ED-9754-0DC655364BA4}">
      <formula1>0</formula1>
    </dataValidation>
    <dataValidation type="date" allowBlank="1" showInputMessage="1" showErrorMessage="1" errorTitle="Invalid Data" error="Please insert a date between 3/30/2023 - 10/1/2023" promptTitle="Date Input" prompt="Please insert the date played" sqref="M7" xr:uid="{104CD908-62CD-423A-9877-9EEE3A0F39B5}">
      <formula1>45015</formula1>
      <formula2>45200</formula2>
    </dataValidation>
    <dataValidation type="custom" allowBlank="1" showInputMessage="1" showErrorMessage="1" sqref="O29" xr:uid="{23255730-9F40-41BB-A073-CA3489387F20}">
      <formula1>P24</formula1>
    </dataValidation>
    <dataValidation type="whole" operator="greaterThanOrEqual" showInputMessage="1" showErrorMessage="1" errorTitle="Invalid Data" error="Please insert a whole number greater than or equal to 1" promptTitle="Innings input" prompt="Please input the number of innings played" sqref="P12" xr:uid="{7B238743-11D4-466B-BFB4-D3BE7827C73A}">
      <formula1>1</formula1>
    </dataValidation>
    <dataValidation operator="greaterThanOrEqual" allowBlank="1" showInputMessage="1" showErrorMessage="1" errorTitle="Invalid Data" error="Please insert a whole number greater than or equal to 0" promptTitle="Singles Input" prompt="Please input the number of singles hit by the Rays" sqref="M16" xr:uid="{7503D16E-7D4E-44EA-A8FF-3CD6C5F325BB}"/>
    <dataValidation type="whole" operator="greaterThanOrEqual" allowBlank="1" showInputMessage="1" showErrorMessage="1" errorTitle="Invalid Data" error="Please Insert a whole number greater than or equal to 0" promptTitle="Doubles Input" prompt="Please insert the number of doubles hit by the Rays_x000a_" sqref="P16" xr:uid="{E63137D3-C63F-4D05-BE69-E3409521E8C5}">
      <formula1>0</formula1>
    </dataValidation>
    <dataValidation type="whole" operator="greaterThanOrEqual" allowBlank="1" showInputMessage="1" showErrorMessage="1" errorTitle="Invalid Data" error="Please input a whole number greater than or equal to 0" promptTitle="Triples Input" prompt="Please input the number of triples hit by the Rays" sqref="M18" xr:uid="{0F5DDE54-38CF-4AE6-837D-27FF7A6D4A10}">
      <formula1>0</formula1>
    </dataValidation>
    <dataValidation type="whole" operator="greaterThanOrEqual" allowBlank="1" showInputMessage="1" showErrorMessage="1" errorTitle="Invalid Data" error="Please input a whole number greater than or equal to 0" promptTitle="Intentional Walks Input" prompt="Please input the number of intentional walks afforded to the Rays" sqref="P20" xr:uid="{C68AA3FF-6FBC-4A22-B476-3B4D26BC22D6}">
      <formula1>0</formula1>
    </dataValidation>
    <dataValidation type="whole" operator="greaterThanOrEqual" allowBlank="1" showInputMessage="1" showErrorMessage="1" errorTitle="Invalid Data" error="Please input a whole number greater than or equal to 0" promptTitle="Hit by Pitch Input" prompt="Please insert the number of Rays batters that were hit by a pitch" sqref="M22" xr:uid="{58208521-8EDA-4EF5-B0F3-9D2F18B81318}">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9" r:id="rId3" name="Drop Down 5">
              <controlPr defaultSize="0" autoLine="0" autoPict="0">
                <anchor moveWithCells="1">
                  <from>
                    <xdr:col>11</xdr:col>
                    <xdr:colOff>828675</xdr:colOff>
                    <xdr:row>27</xdr:row>
                    <xdr:rowOff>0</xdr:rowOff>
                  </from>
                  <to>
                    <xdr:col>12</xdr:col>
                    <xdr:colOff>885825</xdr:colOff>
                    <xdr:row>29</xdr:row>
                    <xdr:rowOff>9525</xdr:rowOff>
                  </to>
                </anchor>
              </controlPr>
            </control>
          </mc:Choice>
        </mc:AlternateContent>
        <mc:AlternateContent xmlns:mc="http://schemas.openxmlformats.org/markup-compatibility/2006">
          <mc:Choice Requires="x14">
            <control shapeId="6157" r:id="rId4" name="Group Box 13">
              <controlPr defaultSize="0" autoFill="0" autoPict="0">
                <anchor moveWithCells="1">
                  <from>
                    <xdr:col>13</xdr:col>
                    <xdr:colOff>609600</xdr:colOff>
                    <xdr:row>8</xdr:row>
                    <xdr:rowOff>0</xdr:rowOff>
                  </from>
                  <to>
                    <xdr:col>15</xdr:col>
                    <xdr:colOff>676275</xdr:colOff>
                    <xdr:row>9</xdr:row>
                    <xdr:rowOff>219075</xdr:rowOff>
                  </to>
                </anchor>
              </controlPr>
            </control>
          </mc:Choice>
        </mc:AlternateContent>
        <mc:AlternateContent xmlns:mc="http://schemas.openxmlformats.org/markup-compatibility/2006">
          <mc:Choice Requires="x14">
            <control shapeId="6158" r:id="rId5" name="Option Button 14">
              <controlPr defaultSize="0" autoFill="0" autoLine="0" autoPict="0">
                <anchor moveWithCells="1">
                  <from>
                    <xdr:col>14</xdr:col>
                    <xdr:colOff>428625</xdr:colOff>
                    <xdr:row>8</xdr:row>
                    <xdr:rowOff>9525</xdr:rowOff>
                  </from>
                  <to>
                    <xdr:col>15</xdr:col>
                    <xdr:colOff>647700</xdr:colOff>
                    <xdr:row>9</xdr:row>
                    <xdr:rowOff>19050</xdr:rowOff>
                  </to>
                </anchor>
              </controlPr>
            </control>
          </mc:Choice>
        </mc:AlternateContent>
        <mc:AlternateContent xmlns:mc="http://schemas.openxmlformats.org/markup-compatibility/2006">
          <mc:Choice Requires="x14">
            <control shapeId="6160" r:id="rId6" name="Option Button 16">
              <controlPr defaultSize="0" autoFill="0" autoLine="0" autoPict="0">
                <anchor moveWithCells="1">
                  <from>
                    <xdr:col>14</xdr:col>
                    <xdr:colOff>428625</xdr:colOff>
                    <xdr:row>9</xdr:row>
                    <xdr:rowOff>47625</xdr:rowOff>
                  </from>
                  <to>
                    <xdr:col>15</xdr:col>
                    <xdr:colOff>581025</xdr:colOff>
                    <xdr:row>9</xdr:row>
                    <xdr:rowOff>219075</xdr:rowOff>
                  </to>
                </anchor>
              </controlPr>
            </control>
          </mc:Choice>
        </mc:AlternateContent>
        <mc:AlternateContent xmlns:mc="http://schemas.openxmlformats.org/markup-compatibility/2006">
          <mc:Choice Requires="x14">
            <control shapeId="6163" r:id="rId7" name="Drop Down 19">
              <controlPr defaultSize="0" autoLine="0" autoPict="0">
                <anchor moveWithCells="1">
                  <from>
                    <xdr:col>15</xdr:col>
                    <xdr:colOff>9525</xdr:colOff>
                    <xdr:row>6</xdr:row>
                    <xdr:rowOff>0</xdr:rowOff>
                  </from>
                  <to>
                    <xdr:col>15</xdr:col>
                    <xdr:colOff>676275</xdr:colOff>
                    <xdr:row>7</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ADD3D-E4C5-42A2-8D9F-C8CBB2505322}">
  <sheetPr codeName="Sheet3">
    <tabColor theme="6" tint="0.39997558519241921"/>
  </sheetPr>
  <dimension ref="B1:AA31"/>
  <sheetViews>
    <sheetView topLeftCell="B1" workbookViewId="0">
      <selection activeCell="H8" sqref="H8"/>
    </sheetView>
  </sheetViews>
  <sheetFormatPr defaultRowHeight="15" x14ac:dyDescent="0.25"/>
  <cols>
    <col min="2" max="2" width="40" customWidth="1"/>
    <col min="4" max="4" width="0" hidden="1" customWidth="1"/>
    <col min="6" max="6" width="13.5703125" bestFit="1" customWidth="1"/>
    <col min="7" max="7" width="0" hidden="1" customWidth="1"/>
    <col min="8" max="8" width="10.7109375" bestFit="1" customWidth="1"/>
    <col min="10" max="10" width="9.7109375" bestFit="1" customWidth="1"/>
    <col min="13" max="13" width="10.7109375" bestFit="1" customWidth="1"/>
  </cols>
  <sheetData>
    <row r="1" spans="2:27" x14ac:dyDescent="0.25">
      <c r="J1" s="12" t="s">
        <v>106</v>
      </c>
      <c r="K1" s="87" t="s">
        <v>207</v>
      </c>
      <c r="L1" s="85" t="s">
        <v>107</v>
      </c>
      <c r="M1" s="85" t="s">
        <v>108</v>
      </c>
      <c r="N1" s="85" t="s">
        <v>3</v>
      </c>
      <c r="O1" s="85" t="s">
        <v>4</v>
      </c>
      <c r="P1" s="85" t="s">
        <v>5</v>
      </c>
      <c r="Q1" s="85" t="s">
        <v>109</v>
      </c>
      <c r="R1" s="85" t="s">
        <v>6</v>
      </c>
      <c r="S1" s="85" t="s">
        <v>7</v>
      </c>
      <c r="T1" s="85" t="s">
        <v>2</v>
      </c>
      <c r="U1" s="85" t="s">
        <v>8</v>
      </c>
      <c r="V1" s="85" t="s">
        <v>9</v>
      </c>
      <c r="W1" s="85" t="s">
        <v>10</v>
      </c>
      <c r="X1" s="85" t="s">
        <v>11</v>
      </c>
      <c r="Y1" s="85" t="s">
        <v>12</v>
      </c>
      <c r="Z1" s="85" t="s">
        <v>13</v>
      </c>
      <c r="AA1" s="89" t="s">
        <v>14</v>
      </c>
    </row>
    <row r="2" spans="2:27" ht="15.75" thickBot="1" x14ac:dyDescent="0.3">
      <c r="B2" s="27" t="s">
        <v>187</v>
      </c>
      <c r="C2" s="29"/>
      <c r="D2" s="29"/>
      <c r="F2" s="35" t="s">
        <v>108</v>
      </c>
      <c r="G2" s="28"/>
      <c r="H2" s="29"/>
      <c r="J2" s="39" t="s">
        <v>0</v>
      </c>
      <c r="K2" s="88"/>
      <c r="L2" s="86"/>
      <c r="M2" s="86"/>
      <c r="N2" s="86"/>
      <c r="O2" s="86"/>
      <c r="P2" s="86"/>
      <c r="Q2" s="86"/>
      <c r="R2" s="86"/>
      <c r="S2" s="86"/>
      <c r="T2" s="86"/>
      <c r="U2" s="86"/>
      <c r="V2" s="86"/>
      <c r="W2" s="86"/>
      <c r="X2" s="86"/>
      <c r="Y2" s="86"/>
      <c r="Z2" s="86"/>
      <c r="AA2" s="90"/>
    </row>
    <row r="3" spans="2:27" x14ac:dyDescent="0.25">
      <c r="B3" s="30" t="s">
        <v>46</v>
      </c>
      <c r="C3" s="31" t="s">
        <v>45</v>
      </c>
      <c r="D3" s="31">
        <v>1</v>
      </c>
      <c r="F3" s="30" t="s">
        <v>182</v>
      </c>
      <c r="G3">
        <v>1</v>
      </c>
      <c r="H3" s="31" t="s">
        <v>66</v>
      </c>
      <c r="J3" s="36">
        <f>'Game Input'!M7</f>
        <v>0</v>
      </c>
      <c r="K3" s="37"/>
      <c r="L3" s="38" t="str">
        <f>_xlfn.XLOOKUP(L4,D3:D31,C3:C31,"NA")</f>
        <v>CHW</v>
      </c>
      <c r="M3" s="38" t="str">
        <f>H15</f>
        <v>W -0 ()</v>
      </c>
      <c r="N3" s="38">
        <f>'Game Input'!M12</f>
        <v>0</v>
      </c>
      <c r="O3" s="38">
        <f>'Game Input'!P24</f>
        <v>0</v>
      </c>
      <c r="P3" s="38">
        <f>'Game Input'!M14</f>
        <v>0</v>
      </c>
      <c r="Q3" s="38" t="str">
        <f>'Game Input'!M16</f>
        <v/>
      </c>
      <c r="R3" s="38">
        <f>'Game Input'!P16</f>
        <v>0</v>
      </c>
      <c r="S3" s="38">
        <f>'Game Input'!M18</f>
        <v>0</v>
      </c>
      <c r="T3" s="38">
        <f>'Game Input'!P14</f>
        <v>0</v>
      </c>
      <c r="U3" s="38">
        <f>'Game Input'!M24</f>
        <v>0</v>
      </c>
      <c r="V3" s="38">
        <f>'Game Input'!M26</f>
        <v>0</v>
      </c>
      <c r="W3" s="38">
        <f>'Game Input'!P26</f>
        <v>0</v>
      </c>
      <c r="X3" s="38">
        <f>'Game Input'!M20</f>
        <v>0</v>
      </c>
      <c r="Y3" s="38">
        <f>'Game Input'!P18</f>
        <v>0</v>
      </c>
      <c r="Z3" s="38">
        <f>'Game Input'!M22</f>
        <v>0</v>
      </c>
      <c r="AA3" s="38">
        <f>'Game Input'!P20</f>
        <v>0</v>
      </c>
    </row>
    <row r="4" spans="2:27" x14ac:dyDescent="0.25">
      <c r="B4" s="30" t="s">
        <v>47</v>
      </c>
      <c r="C4" s="31" t="s">
        <v>44</v>
      </c>
      <c r="D4" s="31">
        <v>2</v>
      </c>
      <c r="F4" s="32" t="s">
        <v>183</v>
      </c>
      <c r="G4" s="33">
        <v>2</v>
      </c>
      <c r="H4" s="34" t="s">
        <v>67</v>
      </c>
      <c r="K4">
        <v>1</v>
      </c>
      <c r="L4">
        <v>6</v>
      </c>
    </row>
    <row r="5" spans="2:27" x14ac:dyDescent="0.25">
      <c r="B5" s="30" t="s">
        <v>48</v>
      </c>
      <c r="C5" s="31" t="s">
        <v>43</v>
      </c>
      <c r="D5" s="31">
        <v>3</v>
      </c>
    </row>
    <row r="6" spans="2:27" x14ac:dyDescent="0.25">
      <c r="B6" s="30" t="s">
        <v>49</v>
      </c>
      <c r="C6" s="31" t="s">
        <v>42</v>
      </c>
      <c r="D6" s="31">
        <v>4</v>
      </c>
      <c r="F6" s="35" t="s">
        <v>201</v>
      </c>
      <c r="G6" s="28"/>
      <c r="H6" s="29"/>
    </row>
    <row r="7" spans="2:27" x14ac:dyDescent="0.25">
      <c r="B7" s="30" t="s">
        <v>50</v>
      </c>
      <c r="C7" s="31" t="s">
        <v>41</v>
      </c>
      <c r="D7" s="31">
        <v>5</v>
      </c>
      <c r="F7" s="30" t="s">
        <v>17</v>
      </c>
      <c r="G7">
        <v>1</v>
      </c>
      <c r="H7" s="31"/>
    </row>
    <row r="8" spans="2:27" x14ac:dyDescent="0.25">
      <c r="B8" s="30" t="s">
        <v>51</v>
      </c>
      <c r="C8" s="31" t="s">
        <v>40</v>
      </c>
      <c r="D8" s="31">
        <v>6</v>
      </c>
      <c r="F8" s="32" t="s">
        <v>16</v>
      </c>
      <c r="G8" s="33">
        <v>2</v>
      </c>
      <c r="H8" s="34" t="s">
        <v>68</v>
      </c>
    </row>
    <row r="9" spans="2:27" x14ac:dyDescent="0.25">
      <c r="B9" s="30" t="s">
        <v>191</v>
      </c>
      <c r="C9" s="31" t="s">
        <v>39</v>
      </c>
      <c r="D9" s="31">
        <v>7</v>
      </c>
    </row>
    <row r="10" spans="2:27" x14ac:dyDescent="0.25">
      <c r="B10" s="30" t="s">
        <v>193</v>
      </c>
      <c r="C10" s="31" t="s">
        <v>38</v>
      </c>
      <c r="D10" s="31">
        <v>8</v>
      </c>
    </row>
    <row r="11" spans="2:27" x14ac:dyDescent="0.25">
      <c r="B11" s="30" t="s">
        <v>192</v>
      </c>
      <c r="C11" s="31" t="s">
        <v>37</v>
      </c>
      <c r="D11" s="31">
        <v>9</v>
      </c>
      <c r="F11" s="35" t="s">
        <v>202</v>
      </c>
      <c r="G11" s="28"/>
      <c r="H11" s="29"/>
    </row>
    <row r="12" spans="2:27" x14ac:dyDescent="0.25">
      <c r="B12" s="30" t="s">
        <v>194</v>
      </c>
      <c r="C12" s="31" t="s">
        <v>36</v>
      </c>
      <c r="D12" s="31">
        <v>10</v>
      </c>
      <c r="F12" s="30" t="s">
        <v>203</v>
      </c>
      <c r="G12">
        <v>1</v>
      </c>
      <c r="H12" s="31" t="str">
        <f>_xlfn.XLOOKUP(G12,G3:G4,H3:H4)</f>
        <v>W</v>
      </c>
    </row>
    <row r="13" spans="2:27" x14ac:dyDescent="0.25">
      <c r="B13" s="30" t="s">
        <v>195</v>
      </c>
      <c r="C13" s="31" t="s">
        <v>188</v>
      </c>
      <c r="D13" s="31">
        <v>11</v>
      </c>
      <c r="F13" s="30" t="s">
        <v>4</v>
      </c>
      <c r="H13" s="31" t="str">
        <f>'Game Input'!O29</f>
        <v/>
      </c>
    </row>
    <row r="14" spans="2:27" x14ac:dyDescent="0.25">
      <c r="B14" s="30" t="s">
        <v>52</v>
      </c>
      <c r="C14" s="31" t="s">
        <v>35</v>
      </c>
      <c r="D14" s="31">
        <v>12</v>
      </c>
      <c r="F14" s="30" t="s">
        <v>180</v>
      </c>
      <c r="H14" s="31">
        <f>'Game Input'!P29</f>
        <v>0</v>
      </c>
    </row>
    <row r="15" spans="2:27" x14ac:dyDescent="0.25">
      <c r="B15" s="30" t="s">
        <v>53</v>
      </c>
      <c r="C15" s="31" t="s">
        <v>189</v>
      </c>
      <c r="D15" s="31">
        <v>13</v>
      </c>
      <c r="F15" s="32" t="s">
        <v>108</v>
      </c>
      <c r="G15" s="33"/>
      <c r="H15" s="34" t="str">
        <f>IF('Game Input'!P12=9,_xlfn.CONCAT(H12," ",H13," - ",H14),_xlfn.CONCAT(H12," ",H13, "-",H14," (",'Game Input'!P12, ")"))</f>
        <v>W -0 ()</v>
      </c>
    </row>
    <row r="16" spans="2:27" x14ac:dyDescent="0.25">
      <c r="B16" s="30" t="s">
        <v>196</v>
      </c>
      <c r="C16" s="31" t="s">
        <v>33</v>
      </c>
      <c r="D16" s="31">
        <v>14</v>
      </c>
    </row>
    <row r="17" spans="2:4" x14ac:dyDescent="0.25">
      <c r="B17" s="30" t="s">
        <v>197</v>
      </c>
      <c r="C17" s="31" t="s">
        <v>32</v>
      </c>
      <c r="D17" s="31">
        <v>15</v>
      </c>
    </row>
    <row r="18" spans="2:4" x14ac:dyDescent="0.25">
      <c r="B18" s="30" t="s">
        <v>54</v>
      </c>
      <c r="C18" s="31" t="s">
        <v>30</v>
      </c>
      <c r="D18" s="31">
        <v>16</v>
      </c>
    </row>
    <row r="19" spans="2:4" x14ac:dyDescent="0.25">
      <c r="B19" s="30" t="s">
        <v>55</v>
      </c>
      <c r="C19" s="31" t="s">
        <v>29</v>
      </c>
      <c r="D19" s="31">
        <v>17</v>
      </c>
    </row>
    <row r="20" spans="2:4" x14ac:dyDescent="0.25">
      <c r="B20" s="30" t="s">
        <v>198</v>
      </c>
      <c r="C20" s="31" t="s">
        <v>28</v>
      </c>
      <c r="D20" s="31">
        <v>18</v>
      </c>
    </row>
    <row r="21" spans="2:4" x14ac:dyDescent="0.25">
      <c r="B21" s="30" t="s">
        <v>56</v>
      </c>
      <c r="C21" s="31" t="s">
        <v>27</v>
      </c>
      <c r="D21" s="31">
        <v>19</v>
      </c>
    </row>
    <row r="22" spans="2:4" x14ac:dyDescent="0.25">
      <c r="B22" s="30" t="s">
        <v>57</v>
      </c>
      <c r="C22" s="31" t="s">
        <v>26</v>
      </c>
      <c r="D22" s="31">
        <v>20</v>
      </c>
    </row>
    <row r="23" spans="2:4" x14ac:dyDescent="0.25">
      <c r="B23" s="30" t="s">
        <v>58</v>
      </c>
      <c r="C23" s="31" t="s">
        <v>25</v>
      </c>
      <c r="D23" s="31">
        <v>21</v>
      </c>
    </row>
    <row r="24" spans="2:4" x14ac:dyDescent="0.25">
      <c r="B24" s="30" t="s">
        <v>59</v>
      </c>
      <c r="C24" s="31" t="s">
        <v>24</v>
      </c>
      <c r="D24" s="31">
        <v>22</v>
      </c>
    </row>
    <row r="25" spans="2:4" x14ac:dyDescent="0.25">
      <c r="B25" s="30" t="s">
        <v>199</v>
      </c>
      <c r="C25" s="31" t="s">
        <v>23</v>
      </c>
      <c r="D25" s="31">
        <v>23</v>
      </c>
    </row>
    <row r="26" spans="2:4" x14ac:dyDescent="0.25">
      <c r="B26" s="30" t="s">
        <v>61</v>
      </c>
      <c r="C26" s="31" t="s">
        <v>21</v>
      </c>
      <c r="D26" s="31">
        <v>24</v>
      </c>
    </row>
    <row r="27" spans="2:4" x14ac:dyDescent="0.25">
      <c r="B27" s="30" t="s">
        <v>60</v>
      </c>
      <c r="C27" s="31" t="s">
        <v>22</v>
      </c>
      <c r="D27" s="31">
        <v>25</v>
      </c>
    </row>
    <row r="28" spans="2:4" x14ac:dyDescent="0.25">
      <c r="B28" s="30" t="s">
        <v>200</v>
      </c>
      <c r="C28" s="31" t="s">
        <v>20</v>
      </c>
      <c r="D28" s="31">
        <v>26</v>
      </c>
    </row>
    <row r="29" spans="2:4" x14ac:dyDescent="0.25">
      <c r="B29" s="30" t="s">
        <v>62</v>
      </c>
      <c r="C29" s="31" t="s">
        <v>19</v>
      </c>
      <c r="D29" s="31">
        <v>27</v>
      </c>
    </row>
    <row r="30" spans="2:4" x14ac:dyDescent="0.25">
      <c r="B30" s="30" t="s">
        <v>63</v>
      </c>
      <c r="C30" s="31" t="s">
        <v>18</v>
      </c>
      <c r="D30" s="31">
        <v>28</v>
      </c>
    </row>
    <row r="31" spans="2:4" x14ac:dyDescent="0.25">
      <c r="B31" s="32" t="s">
        <v>64</v>
      </c>
      <c r="C31" s="34" t="s">
        <v>190</v>
      </c>
      <c r="D31" s="34">
        <v>29</v>
      </c>
    </row>
  </sheetData>
  <mergeCells count="17">
    <mergeCell ref="AA1:AA2"/>
    <mergeCell ref="U1:U2"/>
    <mergeCell ref="V1:V2"/>
    <mergeCell ref="W1:W2"/>
    <mergeCell ref="X1:X2"/>
    <mergeCell ref="Y1:Y2"/>
    <mergeCell ref="Z1:Z2"/>
    <mergeCell ref="K1:K2"/>
    <mergeCell ref="L1:L2"/>
    <mergeCell ref="M1:M2"/>
    <mergeCell ref="N1:N2"/>
    <mergeCell ref="O1:O2"/>
    <mergeCell ref="Q1:Q2"/>
    <mergeCell ref="R1:R2"/>
    <mergeCell ref="S1:S2"/>
    <mergeCell ref="T1:T2"/>
    <mergeCell ref="P1:P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7D2E0-0CE5-499E-97B2-666B3079B8BA}">
  <sheetPr codeName="Sheet4">
    <tabColor theme="7" tint="0.39997558519241921"/>
  </sheetPr>
  <dimension ref="A1:R185"/>
  <sheetViews>
    <sheetView workbookViewId="0">
      <pane xSplit="1" ySplit="1" topLeftCell="B2" activePane="bottomRight" state="frozen"/>
      <selection pane="topRight" activeCell="B1" sqref="B1"/>
      <selection pane="bottomLeft" activeCell="A2" sqref="A2"/>
      <selection pane="bottomRight" activeCell="S2" sqref="S2"/>
    </sheetView>
  </sheetViews>
  <sheetFormatPr defaultRowHeight="15" x14ac:dyDescent="0.25"/>
  <cols>
    <col min="1" max="1" width="13.42578125" bestFit="1" customWidth="1"/>
    <col min="2" max="2" width="12.42578125" bestFit="1" customWidth="1"/>
    <col min="4" max="4" width="11" bestFit="1" customWidth="1"/>
  </cols>
  <sheetData>
    <row r="1" spans="1:18" ht="21" x14ac:dyDescent="0.25">
      <c r="A1" s="7" t="s">
        <v>106</v>
      </c>
      <c r="B1" s="68" t="s">
        <v>207</v>
      </c>
      <c r="C1" s="7" t="s">
        <v>107</v>
      </c>
      <c r="D1" s="7" t="s">
        <v>108</v>
      </c>
      <c r="E1" s="7" t="s">
        <v>3</v>
      </c>
      <c r="F1" s="7" t="s">
        <v>4</v>
      </c>
      <c r="G1" s="7" t="s">
        <v>5</v>
      </c>
      <c r="H1" s="7" t="s">
        <v>109</v>
      </c>
      <c r="I1" s="7" t="s">
        <v>6</v>
      </c>
      <c r="J1" s="7" t="s">
        <v>7</v>
      </c>
      <c r="K1" s="7" t="s">
        <v>2</v>
      </c>
      <c r="L1" s="7" t="s">
        <v>8</v>
      </c>
      <c r="M1" s="7" t="s">
        <v>9</v>
      </c>
      <c r="N1" s="7" t="s">
        <v>10</v>
      </c>
      <c r="O1" s="7" t="s">
        <v>11</v>
      </c>
      <c r="P1" s="7" t="s">
        <v>12</v>
      </c>
      <c r="Q1" s="7" t="s">
        <v>13</v>
      </c>
      <c r="R1" s="7" t="s">
        <v>14</v>
      </c>
    </row>
    <row r="2" spans="1:18" x14ac:dyDescent="0.25">
      <c r="A2" s="8">
        <v>45039</v>
      </c>
      <c r="B2" s="9"/>
      <c r="C2" s="1" t="s">
        <v>40</v>
      </c>
      <c r="D2" s="9" t="s">
        <v>230</v>
      </c>
      <c r="E2" s="2">
        <v>28</v>
      </c>
      <c r="F2" s="2">
        <v>4</v>
      </c>
      <c r="G2" s="2">
        <v>5</v>
      </c>
      <c r="H2" s="2">
        <v>1</v>
      </c>
      <c r="I2" s="2">
        <v>2</v>
      </c>
      <c r="J2" s="2">
        <v>0</v>
      </c>
      <c r="K2" s="2">
        <v>2</v>
      </c>
      <c r="L2" s="2">
        <v>4</v>
      </c>
      <c r="M2" s="2">
        <v>1</v>
      </c>
      <c r="N2" s="2">
        <v>1</v>
      </c>
      <c r="O2" s="2">
        <v>3</v>
      </c>
      <c r="P2" s="2">
        <v>5</v>
      </c>
      <c r="Q2" s="2">
        <v>0</v>
      </c>
      <c r="R2" s="3">
        <v>0</v>
      </c>
    </row>
    <row r="3" spans="1:18" x14ac:dyDescent="0.25">
      <c r="A3" s="8">
        <v>45038</v>
      </c>
      <c r="B3" s="9"/>
      <c r="C3" s="1" t="s">
        <v>40</v>
      </c>
      <c r="D3" s="9" t="s">
        <v>78</v>
      </c>
      <c r="E3" s="2">
        <v>36</v>
      </c>
      <c r="F3" s="2">
        <v>4</v>
      </c>
      <c r="G3" s="2">
        <v>9</v>
      </c>
      <c r="H3" s="2">
        <v>7</v>
      </c>
      <c r="I3" s="2">
        <v>0</v>
      </c>
      <c r="J3" s="2">
        <v>1</v>
      </c>
      <c r="K3" s="2">
        <v>1</v>
      </c>
      <c r="L3" s="2">
        <v>4</v>
      </c>
      <c r="M3" s="2">
        <v>1</v>
      </c>
      <c r="N3" s="2">
        <v>1</v>
      </c>
      <c r="O3" s="2">
        <v>2</v>
      </c>
      <c r="P3" s="2">
        <v>11</v>
      </c>
      <c r="Q3" s="2">
        <v>0</v>
      </c>
      <c r="R3" s="3">
        <v>0</v>
      </c>
    </row>
    <row r="4" spans="1:18" x14ac:dyDescent="0.25">
      <c r="A4" s="8">
        <v>45037</v>
      </c>
      <c r="B4" s="9"/>
      <c r="C4" s="1" t="s">
        <v>40</v>
      </c>
      <c r="D4" s="9" t="s">
        <v>121</v>
      </c>
      <c r="E4" s="2">
        <v>34</v>
      </c>
      <c r="F4" s="2">
        <v>8</v>
      </c>
      <c r="G4" s="2">
        <v>10</v>
      </c>
      <c r="H4" s="2">
        <v>6</v>
      </c>
      <c r="I4" s="2">
        <v>1</v>
      </c>
      <c r="J4" s="2">
        <v>0</v>
      </c>
      <c r="K4" s="2">
        <v>3</v>
      </c>
      <c r="L4" s="2">
        <v>8</v>
      </c>
      <c r="M4" s="2">
        <v>1</v>
      </c>
      <c r="N4" s="2">
        <v>0</v>
      </c>
      <c r="O4" s="2">
        <v>4</v>
      </c>
      <c r="P4" s="2">
        <v>14</v>
      </c>
      <c r="Q4" s="2">
        <v>0</v>
      </c>
      <c r="R4" s="3">
        <v>0</v>
      </c>
    </row>
    <row r="5" spans="1:18" x14ac:dyDescent="0.25">
      <c r="A5" s="8">
        <v>45035</v>
      </c>
      <c r="B5" s="9" t="s">
        <v>68</v>
      </c>
      <c r="C5" s="1" t="s">
        <v>39</v>
      </c>
      <c r="D5" s="9" t="s">
        <v>122</v>
      </c>
      <c r="E5" s="2">
        <v>37</v>
      </c>
      <c r="F5" s="2">
        <v>8</v>
      </c>
      <c r="G5" s="2">
        <v>12</v>
      </c>
      <c r="H5" s="2">
        <v>9</v>
      </c>
      <c r="I5" s="2">
        <v>2</v>
      </c>
      <c r="J5" s="2">
        <v>0</v>
      </c>
      <c r="K5" s="2">
        <v>1</v>
      </c>
      <c r="L5" s="2">
        <v>7</v>
      </c>
      <c r="M5" s="2">
        <v>2</v>
      </c>
      <c r="N5" s="2">
        <v>0</v>
      </c>
      <c r="O5" s="2">
        <v>5</v>
      </c>
      <c r="P5" s="2">
        <v>6</v>
      </c>
      <c r="Q5" s="2">
        <v>0</v>
      </c>
      <c r="R5" s="3">
        <v>0</v>
      </c>
    </row>
    <row r="6" spans="1:18" x14ac:dyDescent="0.25">
      <c r="A6" s="8">
        <v>45034</v>
      </c>
      <c r="B6" s="9" t="s">
        <v>68</v>
      </c>
      <c r="C6" s="1" t="s">
        <v>39</v>
      </c>
      <c r="D6" s="9" t="s">
        <v>123</v>
      </c>
      <c r="E6" s="2">
        <v>41</v>
      </c>
      <c r="F6" s="2">
        <v>10</v>
      </c>
      <c r="G6" s="2">
        <v>17</v>
      </c>
      <c r="H6" s="2">
        <v>11</v>
      </c>
      <c r="I6" s="2">
        <v>1</v>
      </c>
      <c r="J6" s="2">
        <v>1</v>
      </c>
      <c r="K6" s="2">
        <v>4</v>
      </c>
      <c r="L6" s="2">
        <v>10</v>
      </c>
      <c r="M6" s="2">
        <v>0</v>
      </c>
      <c r="N6" s="2">
        <v>1</v>
      </c>
      <c r="O6" s="2">
        <v>1</v>
      </c>
      <c r="P6" s="2">
        <v>8</v>
      </c>
      <c r="Q6" s="2">
        <v>3</v>
      </c>
      <c r="R6" s="3">
        <v>0</v>
      </c>
    </row>
    <row r="7" spans="1:18" x14ac:dyDescent="0.25">
      <c r="A7" s="8">
        <v>45033</v>
      </c>
      <c r="B7" s="9" t="s">
        <v>68</v>
      </c>
      <c r="C7" s="1" t="s">
        <v>39</v>
      </c>
      <c r="D7" s="9" t="s">
        <v>97</v>
      </c>
      <c r="E7" s="2">
        <v>35</v>
      </c>
      <c r="F7" s="2">
        <v>1</v>
      </c>
      <c r="G7" s="2">
        <v>8</v>
      </c>
      <c r="H7" s="2">
        <v>5</v>
      </c>
      <c r="I7" s="2">
        <v>2</v>
      </c>
      <c r="J7" s="2">
        <v>0</v>
      </c>
      <c r="K7" s="2">
        <v>1</v>
      </c>
      <c r="L7" s="2">
        <v>1</v>
      </c>
      <c r="M7" s="2">
        <v>0</v>
      </c>
      <c r="N7" s="2">
        <v>0</v>
      </c>
      <c r="O7" s="2">
        <v>2</v>
      </c>
      <c r="P7" s="2">
        <v>5</v>
      </c>
      <c r="Q7" s="2">
        <v>0</v>
      </c>
      <c r="R7" s="3">
        <v>0</v>
      </c>
    </row>
    <row r="8" spans="1:18" x14ac:dyDescent="0.25">
      <c r="A8" s="8">
        <v>45032</v>
      </c>
      <c r="B8" s="9" t="s">
        <v>68</v>
      </c>
      <c r="C8" s="1" t="s">
        <v>18</v>
      </c>
      <c r="D8" s="9" t="s">
        <v>110</v>
      </c>
      <c r="E8" s="2">
        <v>38</v>
      </c>
      <c r="F8" s="2">
        <v>8</v>
      </c>
      <c r="G8" s="2">
        <v>11</v>
      </c>
      <c r="H8" s="2">
        <v>7</v>
      </c>
      <c r="I8" s="2">
        <v>3</v>
      </c>
      <c r="J8" s="2">
        <v>0</v>
      </c>
      <c r="K8" s="2">
        <v>1</v>
      </c>
      <c r="L8" s="2">
        <v>8</v>
      </c>
      <c r="M8" s="2">
        <v>2</v>
      </c>
      <c r="N8" s="2">
        <v>0</v>
      </c>
      <c r="O8" s="2">
        <v>6</v>
      </c>
      <c r="P8" s="2">
        <v>10</v>
      </c>
      <c r="Q8" s="2">
        <v>1</v>
      </c>
      <c r="R8" s="3">
        <v>0</v>
      </c>
    </row>
    <row r="9" spans="1:18" x14ac:dyDescent="0.25">
      <c r="A9" s="8">
        <v>45031</v>
      </c>
      <c r="B9" s="9" t="s">
        <v>68</v>
      </c>
      <c r="C9" s="1" t="s">
        <v>18</v>
      </c>
      <c r="D9" s="9" t="s">
        <v>94</v>
      </c>
      <c r="E9" s="2">
        <v>35</v>
      </c>
      <c r="F9" s="2">
        <v>2</v>
      </c>
      <c r="G9" s="2">
        <v>8</v>
      </c>
      <c r="H9" s="2">
        <v>6</v>
      </c>
      <c r="I9" s="2">
        <v>1</v>
      </c>
      <c r="J9" s="2">
        <v>0</v>
      </c>
      <c r="K9" s="2">
        <v>1</v>
      </c>
      <c r="L9" s="2">
        <v>2</v>
      </c>
      <c r="M9" s="2">
        <v>0</v>
      </c>
      <c r="N9" s="2">
        <v>0</v>
      </c>
      <c r="O9" s="2">
        <v>3</v>
      </c>
      <c r="P9" s="2">
        <v>12</v>
      </c>
      <c r="Q9" s="2">
        <v>0</v>
      </c>
      <c r="R9" s="3">
        <v>0</v>
      </c>
    </row>
    <row r="10" spans="1:18" x14ac:dyDescent="0.25">
      <c r="A10" s="8">
        <v>45030</v>
      </c>
      <c r="B10" s="9" t="s">
        <v>68</v>
      </c>
      <c r="C10" s="1" t="s">
        <v>18</v>
      </c>
      <c r="D10" s="9" t="s">
        <v>111</v>
      </c>
      <c r="E10" s="2">
        <v>35</v>
      </c>
      <c r="F10" s="2">
        <v>3</v>
      </c>
      <c r="G10" s="2">
        <v>8</v>
      </c>
      <c r="H10" s="2">
        <v>6</v>
      </c>
      <c r="I10" s="2">
        <v>0</v>
      </c>
      <c r="J10" s="2">
        <v>0</v>
      </c>
      <c r="K10" s="2">
        <v>2</v>
      </c>
      <c r="L10" s="2">
        <v>3</v>
      </c>
      <c r="M10" s="2">
        <v>1</v>
      </c>
      <c r="N10" s="2">
        <v>0</v>
      </c>
      <c r="O10" s="2">
        <v>1</v>
      </c>
      <c r="P10" s="2">
        <v>10</v>
      </c>
      <c r="Q10" s="2">
        <v>0</v>
      </c>
      <c r="R10" s="3">
        <v>0</v>
      </c>
    </row>
    <row r="11" spans="1:18" x14ac:dyDescent="0.25">
      <c r="A11" s="8">
        <v>45029</v>
      </c>
      <c r="B11" s="9"/>
      <c r="C11" s="1" t="s">
        <v>42</v>
      </c>
      <c r="D11" s="9" t="s">
        <v>112</v>
      </c>
      <c r="E11" s="2">
        <v>34</v>
      </c>
      <c r="F11" s="2">
        <v>9</v>
      </c>
      <c r="G11" s="2">
        <v>10</v>
      </c>
      <c r="H11" s="2">
        <v>5</v>
      </c>
      <c r="I11" s="2">
        <v>3</v>
      </c>
      <c r="J11" s="2">
        <v>0</v>
      </c>
      <c r="K11" s="2">
        <v>2</v>
      </c>
      <c r="L11" s="2">
        <v>9</v>
      </c>
      <c r="M11" s="2">
        <v>0</v>
      </c>
      <c r="N11" s="2">
        <v>0</v>
      </c>
      <c r="O11" s="2">
        <v>1</v>
      </c>
      <c r="P11" s="2">
        <v>9</v>
      </c>
      <c r="Q11" s="2">
        <v>1</v>
      </c>
      <c r="R11" s="3">
        <v>0</v>
      </c>
    </row>
    <row r="12" spans="1:18" x14ac:dyDescent="0.25">
      <c r="A12" s="8">
        <v>45028</v>
      </c>
      <c r="B12" s="9"/>
      <c r="C12" s="1" t="s">
        <v>42</v>
      </c>
      <c r="D12" s="9" t="s">
        <v>113</v>
      </c>
      <c r="E12" s="2">
        <v>34</v>
      </c>
      <c r="F12" s="2">
        <v>9</v>
      </c>
      <c r="G12" s="2">
        <v>11</v>
      </c>
      <c r="H12" s="2">
        <v>5</v>
      </c>
      <c r="I12" s="2">
        <v>5</v>
      </c>
      <c r="J12" s="2">
        <v>0</v>
      </c>
      <c r="K12" s="2">
        <v>1</v>
      </c>
      <c r="L12" s="2">
        <v>9</v>
      </c>
      <c r="M12" s="2">
        <v>1</v>
      </c>
      <c r="N12" s="2">
        <v>0</v>
      </c>
      <c r="O12" s="2">
        <v>4</v>
      </c>
      <c r="P12" s="2">
        <v>11</v>
      </c>
      <c r="Q12" s="2">
        <v>1</v>
      </c>
      <c r="R12" s="3">
        <v>0</v>
      </c>
    </row>
    <row r="13" spans="1:18" x14ac:dyDescent="0.25">
      <c r="A13" s="8">
        <v>45027</v>
      </c>
      <c r="B13" s="9"/>
      <c r="C13" s="1" t="s">
        <v>42</v>
      </c>
      <c r="D13" s="9" t="s">
        <v>114</v>
      </c>
      <c r="E13" s="2">
        <v>34</v>
      </c>
      <c r="F13" s="2">
        <v>7</v>
      </c>
      <c r="G13" s="2">
        <v>11</v>
      </c>
      <c r="H13" s="2">
        <v>5</v>
      </c>
      <c r="I13" s="2">
        <v>2</v>
      </c>
      <c r="J13" s="2">
        <v>0</v>
      </c>
      <c r="K13" s="2">
        <v>4</v>
      </c>
      <c r="L13" s="2">
        <v>6</v>
      </c>
      <c r="M13" s="2">
        <v>1</v>
      </c>
      <c r="N13" s="2">
        <v>2</v>
      </c>
      <c r="O13" s="2">
        <v>1</v>
      </c>
      <c r="P13" s="2">
        <v>9</v>
      </c>
      <c r="Q13" s="2">
        <v>0</v>
      </c>
      <c r="R13" s="3">
        <v>0</v>
      </c>
    </row>
    <row r="14" spans="1:18" x14ac:dyDescent="0.25">
      <c r="A14" s="8">
        <v>45026</v>
      </c>
      <c r="B14" s="9"/>
      <c r="C14" s="1" t="s">
        <v>42</v>
      </c>
      <c r="D14" s="9" t="s">
        <v>115</v>
      </c>
      <c r="E14" s="2">
        <v>29</v>
      </c>
      <c r="F14" s="2">
        <v>1</v>
      </c>
      <c r="G14" s="2">
        <v>5</v>
      </c>
      <c r="H14" s="2">
        <v>3</v>
      </c>
      <c r="I14" s="2">
        <v>1</v>
      </c>
      <c r="J14" s="2">
        <v>0</v>
      </c>
      <c r="K14" s="2">
        <v>1</v>
      </c>
      <c r="L14" s="2">
        <v>1</v>
      </c>
      <c r="M14" s="2">
        <v>1</v>
      </c>
      <c r="N14" s="2">
        <v>0</v>
      </c>
      <c r="O14" s="2">
        <v>2</v>
      </c>
      <c r="P14" s="2">
        <v>7</v>
      </c>
      <c r="Q14" s="2">
        <v>0</v>
      </c>
      <c r="R14" s="3">
        <v>0</v>
      </c>
    </row>
    <row r="15" spans="1:18" x14ac:dyDescent="0.25">
      <c r="A15" s="8">
        <v>45025</v>
      </c>
      <c r="B15" s="9"/>
      <c r="C15" s="1" t="s">
        <v>26</v>
      </c>
      <c r="D15" s="9" t="s">
        <v>116</v>
      </c>
      <c r="E15" s="2">
        <v>35</v>
      </c>
      <c r="F15" s="2">
        <v>11</v>
      </c>
      <c r="G15" s="2">
        <v>12</v>
      </c>
      <c r="H15" s="2">
        <v>5</v>
      </c>
      <c r="I15" s="2">
        <v>4</v>
      </c>
      <c r="J15" s="2">
        <v>0</v>
      </c>
      <c r="K15" s="2">
        <v>3</v>
      </c>
      <c r="L15" s="2">
        <v>11</v>
      </c>
      <c r="M15" s="2">
        <v>1</v>
      </c>
      <c r="N15" s="2">
        <v>1</v>
      </c>
      <c r="O15" s="2">
        <v>7</v>
      </c>
      <c r="P15" s="2">
        <v>7</v>
      </c>
      <c r="Q15" s="2">
        <v>2</v>
      </c>
      <c r="R15" s="3">
        <v>0</v>
      </c>
    </row>
    <row r="16" spans="1:18" x14ac:dyDescent="0.25">
      <c r="A16" s="8">
        <v>45024</v>
      </c>
      <c r="B16" s="9"/>
      <c r="C16" s="1" t="s">
        <v>26</v>
      </c>
      <c r="D16" s="9" t="s">
        <v>116</v>
      </c>
      <c r="E16" s="2">
        <v>31</v>
      </c>
      <c r="F16" s="2">
        <v>11</v>
      </c>
      <c r="G16" s="2">
        <v>8</v>
      </c>
      <c r="H16" s="2">
        <v>4</v>
      </c>
      <c r="I16" s="2">
        <v>1</v>
      </c>
      <c r="J16" s="2">
        <v>0</v>
      </c>
      <c r="K16" s="2">
        <v>3</v>
      </c>
      <c r="L16" s="2">
        <v>11</v>
      </c>
      <c r="M16" s="2">
        <v>0</v>
      </c>
      <c r="N16" s="2">
        <v>0</v>
      </c>
      <c r="O16" s="2">
        <v>6</v>
      </c>
      <c r="P16" s="2">
        <v>1</v>
      </c>
      <c r="Q16" s="2">
        <v>3</v>
      </c>
      <c r="R16" s="3">
        <v>0</v>
      </c>
    </row>
    <row r="17" spans="1:18" x14ac:dyDescent="0.25">
      <c r="A17" s="8">
        <v>45023</v>
      </c>
      <c r="B17" s="9"/>
      <c r="C17" s="1" t="s">
        <v>26</v>
      </c>
      <c r="D17" s="9" t="s">
        <v>117</v>
      </c>
      <c r="E17" s="2">
        <v>34</v>
      </c>
      <c r="F17" s="2">
        <v>9</v>
      </c>
      <c r="G17" s="2">
        <v>10</v>
      </c>
      <c r="H17" s="2">
        <v>5</v>
      </c>
      <c r="I17" s="2">
        <v>0</v>
      </c>
      <c r="J17" s="2">
        <v>0</v>
      </c>
      <c r="K17" s="2">
        <v>5</v>
      </c>
      <c r="L17" s="2">
        <v>9</v>
      </c>
      <c r="M17" s="2">
        <v>0</v>
      </c>
      <c r="N17" s="2">
        <v>0</v>
      </c>
      <c r="O17" s="2">
        <v>6</v>
      </c>
      <c r="P17" s="2">
        <v>6</v>
      </c>
      <c r="Q17" s="2">
        <v>0</v>
      </c>
      <c r="R17" s="3">
        <v>0</v>
      </c>
    </row>
    <row r="18" spans="1:18" x14ac:dyDescent="0.25">
      <c r="A18" s="8">
        <v>45021</v>
      </c>
      <c r="B18" s="9" t="s">
        <v>68</v>
      </c>
      <c r="C18" s="1" t="s">
        <v>15</v>
      </c>
      <c r="D18" s="9" t="s">
        <v>114</v>
      </c>
      <c r="E18" s="2">
        <v>35</v>
      </c>
      <c r="F18" s="2">
        <v>7</v>
      </c>
      <c r="G18" s="2">
        <v>11</v>
      </c>
      <c r="H18" s="2">
        <v>8</v>
      </c>
      <c r="I18" s="2">
        <v>1</v>
      </c>
      <c r="J18" s="2">
        <v>0</v>
      </c>
      <c r="K18" s="2">
        <v>2</v>
      </c>
      <c r="L18" s="2">
        <v>7</v>
      </c>
      <c r="M18" s="2">
        <v>1</v>
      </c>
      <c r="N18" s="2">
        <v>1</v>
      </c>
      <c r="O18" s="2">
        <v>2</v>
      </c>
      <c r="P18" s="2">
        <v>6</v>
      </c>
      <c r="Q18" s="2">
        <v>0</v>
      </c>
      <c r="R18" s="3">
        <v>0</v>
      </c>
    </row>
    <row r="19" spans="1:18" x14ac:dyDescent="0.25">
      <c r="A19" s="8">
        <v>45020</v>
      </c>
      <c r="B19" s="9" t="s">
        <v>68</v>
      </c>
      <c r="C19" s="1" t="s">
        <v>15</v>
      </c>
      <c r="D19" s="9" t="s">
        <v>118</v>
      </c>
      <c r="E19" s="2">
        <v>35</v>
      </c>
      <c r="F19" s="2">
        <v>10</v>
      </c>
      <c r="G19" s="2">
        <v>10</v>
      </c>
      <c r="H19" s="2">
        <v>3</v>
      </c>
      <c r="I19" s="2">
        <v>3</v>
      </c>
      <c r="J19" s="2">
        <v>0</v>
      </c>
      <c r="K19" s="2">
        <v>4</v>
      </c>
      <c r="L19" s="2">
        <v>10</v>
      </c>
      <c r="M19" s="2">
        <v>1</v>
      </c>
      <c r="N19" s="2">
        <v>1</v>
      </c>
      <c r="O19" s="2">
        <v>4</v>
      </c>
      <c r="P19" s="2">
        <v>7</v>
      </c>
      <c r="Q19" s="2">
        <v>0</v>
      </c>
      <c r="R19" s="3">
        <v>0</v>
      </c>
    </row>
    <row r="20" spans="1:18" x14ac:dyDescent="0.25">
      <c r="A20" s="8">
        <v>45019</v>
      </c>
      <c r="B20" s="9" t="s">
        <v>68</v>
      </c>
      <c r="C20" s="1" t="s">
        <v>15</v>
      </c>
      <c r="D20" s="9" t="s">
        <v>119</v>
      </c>
      <c r="E20" s="2">
        <v>34</v>
      </c>
      <c r="F20" s="2">
        <v>6</v>
      </c>
      <c r="G20" s="2">
        <v>9</v>
      </c>
      <c r="H20" s="2">
        <v>6</v>
      </c>
      <c r="I20" s="2">
        <v>0</v>
      </c>
      <c r="J20" s="2">
        <v>0</v>
      </c>
      <c r="K20" s="2">
        <v>3</v>
      </c>
      <c r="L20" s="2">
        <v>6</v>
      </c>
      <c r="M20" s="2">
        <v>1</v>
      </c>
      <c r="N20" s="2">
        <v>0</v>
      </c>
      <c r="O20" s="2">
        <v>1</v>
      </c>
      <c r="P20" s="2">
        <v>5</v>
      </c>
      <c r="Q20" s="2">
        <v>0</v>
      </c>
      <c r="R20" s="3">
        <v>0</v>
      </c>
    </row>
    <row r="21" spans="1:18" x14ac:dyDescent="0.25">
      <c r="A21" s="8">
        <v>45018</v>
      </c>
      <c r="B21" s="9"/>
      <c r="C21" s="1" t="s">
        <v>36</v>
      </c>
      <c r="D21" s="9" t="s">
        <v>77</v>
      </c>
      <c r="E21" s="2">
        <v>32</v>
      </c>
      <c r="F21" s="2">
        <v>5</v>
      </c>
      <c r="G21" s="2">
        <v>8</v>
      </c>
      <c r="H21" s="2">
        <v>5</v>
      </c>
      <c r="I21" s="2">
        <v>2</v>
      </c>
      <c r="J21" s="2">
        <v>0</v>
      </c>
      <c r="K21" s="2">
        <v>1</v>
      </c>
      <c r="L21" s="2">
        <v>4</v>
      </c>
      <c r="M21" s="2">
        <v>2</v>
      </c>
      <c r="N21" s="2">
        <v>0</v>
      </c>
      <c r="O21" s="2">
        <v>2</v>
      </c>
      <c r="P21" s="2">
        <v>4</v>
      </c>
      <c r="Q21" s="2">
        <v>1</v>
      </c>
      <c r="R21" s="3">
        <v>0</v>
      </c>
    </row>
    <row r="22" spans="1:18" x14ac:dyDescent="0.25">
      <c r="A22" s="8">
        <v>45017</v>
      </c>
      <c r="B22" s="9"/>
      <c r="C22" s="1" t="s">
        <v>36</v>
      </c>
      <c r="D22" s="9" t="s">
        <v>120</v>
      </c>
      <c r="E22" s="2">
        <v>36</v>
      </c>
      <c r="F22" s="2">
        <v>12</v>
      </c>
      <c r="G22" s="2">
        <v>13</v>
      </c>
      <c r="H22" s="2">
        <v>5</v>
      </c>
      <c r="I22" s="2">
        <v>7</v>
      </c>
      <c r="J22" s="2">
        <v>0</v>
      </c>
      <c r="K22" s="2">
        <v>1</v>
      </c>
      <c r="L22" s="2">
        <v>12</v>
      </c>
      <c r="M22" s="2">
        <v>0</v>
      </c>
      <c r="N22" s="2">
        <v>0</v>
      </c>
      <c r="O22" s="2">
        <v>7</v>
      </c>
      <c r="P22" s="2">
        <v>15</v>
      </c>
      <c r="Q22" s="2">
        <v>2</v>
      </c>
      <c r="R22" s="3">
        <v>0</v>
      </c>
    </row>
    <row r="23" spans="1:18" x14ac:dyDescent="0.25">
      <c r="A23" s="8">
        <v>45015</v>
      </c>
      <c r="B23" s="9"/>
      <c r="C23" s="1" t="s">
        <v>36</v>
      </c>
      <c r="D23" s="9" t="s">
        <v>82</v>
      </c>
      <c r="E23" s="2">
        <v>29</v>
      </c>
      <c r="F23" s="2">
        <v>4</v>
      </c>
      <c r="G23" s="2">
        <v>6</v>
      </c>
      <c r="H23" s="2">
        <v>4</v>
      </c>
      <c r="I23" s="2">
        <v>0</v>
      </c>
      <c r="J23" s="2">
        <v>0</v>
      </c>
      <c r="K23" s="2">
        <v>2</v>
      </c>
      <c r="L23" s="2">
        <v>4</v>
      </c>
      <c r="M23" s="2">
        <v>0</v>
      </c>
      <c r="N23" s="2">
        <v>0</v>
      </c>
      <c r="O23" s="2">
        <v>3</v>
      </c>
      <c r="P23" s="2">
        <v>7</v>
      </c>
      <c r="Q23" s="2">
        <v>0</v>
      </c>
      <c r="R23" s="3">
        <v>0</v>
      </c>
    </row>
    <row r="24" spans="1:18" x14ac:dyDescent="0.25">
      <c r="A24" s="8">
        <v>44839</v>
      </c>
      <c r="B24" s="9" t="s">
        <v>68</v>
      </c>
      <c r="C24" s="1" t="s">
        <v>42</v>
      </c>
      <c r="D24" s="9" t="s">
        <v>111</v>
      </c>
      <c r="E24" s="2">
        <v>32</v>
      </c>
      <c r="F24" s="2">
        <v>3</v>
      </c>
      <c r="G24" s="2">
        <v>7</v>
      </c>
      <c r="H24" s="2">
        <v>2</v>
      </c>
      <c r="I24" s="2">
        <v>3</v>
      </c>
      <c r="J24" s="2">
        <v>0</v>
      </c>
      <c r="K24" s="2">
        <v>2</v>
      </c>
      <c r="L24" s="2">
        <v>3</v>
      </c>
      <c r="M24" s="2">
        <v>0</v>
      </c>
      <c r="N24" s="2">
        <v>0</v>
      </c>
      <c r="O24" s="2">
        <v>6</v>
      </c>
      <c r="P24" s="2">
        <v>8</v>
      </c>
      <c r="Q24" s="2">
        <v>1</v>
      </c>
      <c r="R24" s="3">
        <v>0</v>
      </c>
    </row>
    <row r="25" spans="1:18" x14ac:dyDescent="0.25">
      <c r="A25" s="8">
        <v>44838</v>
      </c>
      <c r="B25" s="9" t="s">
        <v>68</v>
      </c>
      <c r="C25" s="1" t="s">
        <v>42</v>
      </c>
      <c r="D25" s="9" t="s">
        <v>124</v>
      </c>
      <c r="E25" s="2">
        <v>16</v>
      </c>
      <c r="F25" s="2">
        <v>0</v>
      </c>
      <c r="G25" s="2">
        <v>2</v>
      </c>
      <c r="H25" s="2">
        <v>1</v>
      </c>
      <c r="I25" s="2">
        <v>1</v>
      </c>
      <c r="J25" s="2">
        <v>0</v>
      </c>
      <c r="K25" s="2">
        <v>0</v>
      </c>
      <c r="L25" s="2">
        <v>0</v>
      </c>
      <c r="M25" s="2">
        <v>0</v>
      </c>
      <c r="N25" s="2">
        <v>0</v>
      </c>
      <c r="O25" s="2">
        <v>2</v>
      </c>
      <c r="P25" s="2">
        <v>4</v>
      </c>
      <c r="Q25" s="2">
        <v>0</v>
      </c>
      <c r="R25" s="3">
        <v>0</v>
      </c>
    </row>
    <row r="26" spans="1:18" x14ac:dyDescent="0.25">
      <c r="A26" s="8">
        <v>44837</v>
      </c>
      <c r="B26" s="9" t="s">
        <v>68</v>
      </c>
      <c r="C26" s="1" t="s">
        <v>42</v>
      </c>
      <c r="D26" s="9" t="s">
        <v>92</v>
      </c>
      <c r="E26" s="2">
        <v>31</v>
      </c>
      <c r="F26" s="2">
        <v>3</v>
      </c>
      <c r="G26" s="2">
        <v>5</v>
      </c>
      <c r="H26" s="2">
        <v>2</v>
      </c>
      <c r="I26" s="2">
        <v>0</v>
      </c>
      <c r="J26" s="2">
        <v>1</v>
      </c>
      <c r="K26" s="2">
        <v>2</v>
      </c>
      <c r="L26" s="2">
        <v>3</v>
      </c>
      <c r="M26" s="2">
        <v>0</v>
      </c>
      <c r="N26" s="2">
        <v>0</v>
      </c>
      <c r="O26" s="2">
        <v>1</v>
      </c>
      <c r="P26" s="2">
        <v>8</v>
      </c>
      <c r="Q26" s="2">
        <v>0</v>
      </c>
      <c r="R26" s="3">
        <v>0</v>
      </c>
    </row>
    <row r="27" spans="1:18" x14ac:dyDescent="0.25">
      <c r="A27" s="8">
        <v>44836</v>
      </c>
      <c r="B27" s="9" t="s">
        <v>68</v>
      </c>
      <c r="C27" s="1" t="s">
        <v>35</v>
      </c>
      <c r="D27" s="9" t="s">
        <v>101</v>
      </c>
      <c r="E27" s="2">
        <v>32</v>
      </c>
      <c r="F27" s="2">
        <v>1</v>
      </c>
      <c r="G27" s="2">
        <v>6</v>
      </c>
      <c r="H27" s="2">
        <v>5</v>
      </c>
      <c r="I27" s="2">
        <v>1</v>
      </c>
      <c r="J27" s="2">
        <v>0</v>
      </c>
      <c r="K27" s="2">
        <v>0</v>
      </c>
      <c r="L27" s="2">
        <v>1</v>
      </c>
      <c r="M27" s="2">
        <v>0</v>
      </c>
      <c r="N27" s="2">
        <v>0</v>
      </c>
      <c r="O27" s="2">
        <v>4</v>
      </c>
      <c r="P27" s="2">
        <v>10</v>
      </c>
      <c r="Q27" s="2">
        <v>0</v>
      </c>
      <c r="R27" s="3">
        <v>0</v>
      </c>
    </row>
    <row r="28" spans="1:18" x14ac:dyDescent="0.25">
      <c r="A28" s="8">
        <v>44835</v>
      </c>
      <c r="B28" s="9" t="s">
        <v>68</v>
      </c>
      <c r="C28" s="1" t="s">
        <v>35</v>
      </c>
      <c r="D28" s="9" t="s">
        <v>102</v>
      </c>
      <c r="E28" s="2">
        <v>29</v>
      </c>
      <c r="F28" s="2">
        <v>1</v>
      </c>
      <c r="G28" s="2">
        <v>4</v>
      </c>
      <c r="H28" s="2">
        <v>3</v>
      </c>
      <c r="I28" s="2">
        <v>1</v>
      </c>
      <c r="J28" s="2">
        <v>0</v>
      </c>
      <c r="K28" s="2">
        <v>0</v>
      </c>
      <c r="L28" s="2">
        <v>1</v>
      </c>
      <c r="M28" s="2">
        <v>0</v>
      </c>
      <c r="N28" s="2">
        <v>1</v>
      </c>
      <c r="O28" s="2">
        <v>4</v>
      </c>
      <c r="P28" s="2">
        <v>12</v>
      </c>
      <c r="Q28" s="2">
        <v>0</v>
      </c>
      <c r="R28" s="3">
        <v>0</v>
      </c>
    </row>
    <row r="29" spans="1:18" x14ac:dyDescent="0.25">
      <c r="A29" s="8">
        <v>44834</v>
      </c>
      <c r="B29" s="9" t="s">
        <v>68</v>
      </c>
      <c r="C29" s="1" t="s">
        <v>35</v>
      </c>
      <c r="D29" s="9" t="s">
        <v>70</v>
      </c>
      <c r="E29" s="2">
        <v>37</v>
      </c>
      <c r="F29" s="2">
        <v>7</v>
      </c>
      <c r="G29" s="2">
        <v>10</v>
      </c>
      <c r="H29" s="2">
        <v>6</v>
      </c>
      <c r="I29" s="2">
        <v>2</v>
      </c>
      <c r="J29" s="2">
        <v>1</v>
      </c>
      <c r="K29" s="2">
        <v>1</v>
      </c>
      <c r="L29" s="2">
        <v>7</v>
      </c>
      <c r="M29" s="2">
        <v>0</v>
      </c>
      <c r="N29" s="2">
        <v>0</v>
      </c>
      <c r="O29" s="2">
        <v>5</v>
      </c>
      <c r="P29" s="2">
        <v>8</v>
      </c>
      <c r="Q29" s="2">
        <v>0</v>
      </c>
      <c r="R29" s="3">
        <v>0</v>
      </c>
    </row>
    <row r="30" spans="1:18" x14ac:dyDescent="0.25">
      <c r="A30" s="8">
        <v>44833</v>
      </c>
      <c r="B30" s="9" t="s">
        <v>68</v>
      </c>
      <c r="C30" s="1" t="s">
        <v>38</v>
      </c>
      <c r="D30" s="9" t="s">
        <v>102</v>
      </c>
      <c r="E30" s="2">
        <v>31</v>
      </c>
      <c r="F30" s="2">
        <v>1</v>
      </c>
      <c r="G30" s="2">
        <v>4</v>
      </c>
      <c r="H30" s="2">
        <v>3</v>
      </c>
      <c r="I30" s="2">
        <v>1</v>
      </c>
      <c r="J30" s="2">
        <v>0</v>
      </c>
      <c r="K30" s="2">
        <v>0</v>
      </c>
      <c r="L30" s="2">
        <v>1</v>
      </c>
      <c r="M30" s="2">
        <v>3</v>
      </c>
      <c r="N30" s="2">
        <v>0</v>
      </c>
      <c r="O30" s="2">
        <v>3</v>
      </c>
      <c r="P30" s="2">
        <v>9</v>
      </c>
      <c r="Q30" s="2">
        <v>1</v>
      </c>
      <c r="R30" s="3">
        <v>0</v>
      </c>
    </row>
    <row r="31" spans="1:18" x14ac:dyDescent="0.25">
      <c r="A31" s="8">
        <v>44832</v>
      </c>
      <c r="B31" s="9" t="s">
        <v>68</v>
      </c>
      <c r="C31" s="1" t="s">
        <v>38</v>
      </c>
      <c r="D31" s="9" t="s">
        <v>125</v>
      </c>
      <c r="E31" s="2">
        <v>34</v>
      </c>
      <c r="F31" s="2">
        <v>1</v>
      </c>
      <c r="G31" s="2">
        <v>6</v>
      </c>
      <c r="H31" s="2">
        <v>4</v>
      </c>
      <c r="I31" s="2">
        <v>2</v>
      </c>
      <c r="J31" s="2">
        <v>0</v>
      </c>
      <c r="K31" s="2">
        <v>0</v>
      </c>
      <c r="L31" s="2">
        <v>1</v>
      </c>
      <c r="M31" s="2">
        <v>1</v>
      </c>
      <c r="N31" s="2">
        <v>1</v>
      </c>
      <c r="O31" s="2">
        <v>3</v>
      </c>
      <c r="P31" s="2">
        <v>13</v>
      </c>
      <c r="Q31" s="2">
        <v>0</v>
      </c>
      <c r="R31" s="3">
        <v>0</v>
      </c>
    </row>
    <row r="32" spans="1:18" x14ac:dyDescent="0.25">
      <c r="A32" s="8">
        <v>44831</v>
      </c>
      <c r="B32" s="9" t="s">
        <v>68</v>
      </c>
      <c r="C32" s="1" t="s">
        <v>38</v>
      </c>
      <c r="D32" s="9" t="s">
        <v>126</v>
      </c>
      <c r="E32" s="2">
        <v>40</v>
      </c>
      <c r="F32" s="2">
        <v>6</v>
      </c>
      <c r="G32" s="2">
        <v>7</v>
      </c>
      <c r="H32" s="2">
        <v>3</v>
      </c>
      <c r="I32" s="2">
        <v>3</v>
      </c>
      <c r="J32" s="2">
        <v>0</v>
      </c>
      <c r="K32" s="2">
        <v>1</v>
      </c>
      <c r="L32" s="2">
        <v>6</v>
      </c>
      <c r="M32" s="2">
        <v>2</v>
      </c>
      <c r="N32" s="2">
        <v>0</v>
      </c>
      <c r="O32" s="2">
        <v>1</v>
      </c>
      <c r="P32" s="2">
        <v>13</v>
      </c>
      <c r="Q32" s="2">
        <v>0</v>
      </c>
      <c r="R32" s="3">
        <v>0</v>
      </c>
    </row>
    <row r="33" spans="1:18" x14ac:dyDescent="0.25">
      <c r="A33" s="8">
        <v>44829</v>
      </c>
      <c r="B33" s="9"/>
      <c r="C33" s="1" t="s">
        <v>18</v>
      </c>
      <c r="D33" s="9" t="s">
        <v>98</v>
      </c>
      <c r="E33" s="2">
        <v>33</v>
      </c>
      <c r="F33" s="2">
        <v>1</v>
      </c>
      <c r="G33" s="2">
        <v>7</v>
      </c>
      <c r="H33" s="2">
        <v>5</v>
      </c>
      <c r="I33" s="2">
        <v>2</v>
      </c>
      <c r="J33" s="2">
        <v>0</v>
      </c>
      <c r="K33" s="2">
        <v>0</v>
      </c>
      <c r="L33" s="2">
        <v>1</v>
      </c>
      <c r="M33" s="2">
        <v>0</v>
      </c>
      <c r="N33" s="2">
        <v>0</v>
      </c>
      <c r="O33" s="2">
        <v>1</v>
      </c>
      <c r="P33" s="2">
        <v>10</v>
      </c>
      <c r="Q33" s="2">
        <v>1</v>
      </c>
      <c r="R33" s="3">
        <v>0</v>
      </c>
    </row>
    <row r="34" spans="1:18" x14ac:dyDescent="0.25">
      <c r="A34" s="8">
        <v>44828</v>
      </c>
      <c r="B34" s="9"/>
      <c r="C34" s="1" t="s">
        <v>18</v>
      </c>
      <c r="D34" s="9" t="s">
        <v>101</v>
      </c>
      <c r="E34" s="2">
        <v>33</v>
      </c>
      <c r="F34" s="2">
        <v>1</v>
      </c>
      <c r="G34" s="2">
        <v>7</v>
      </c>
      <c r="H34" s="2">
        <v>5</v>
      </c>
      <c r="I34" s="2">
        <v>2</v>
      </c>
      <c r="J34" s="2">
        <v>0</v>
      </c>
      <c r="K34" s="2">
        <v>0</v>
      </c>
      <c r="L34" s="2">
        <v>0</v>
      </c>
      <c r="M34" s="2">
        <v>0</v>
      </c>
      <c r="N34" s="2">
        <v>0</v>
      </c>
      <c r="O34" s="2">
        <v>2</v>
      </c>
      <c r="P34" s="2">
        <v>12</v>
      </c>
      <c r="Q34" s="2">
        <v>0</v>
      </c>
      <c r="R34" s="3">
        <v>0</v>
      </c>
    </row>
    <row r="35" spans="1:18" x14ac:dyDescent="0.25">
      <c r="A35" s="8">
        <v>44827</v>
      </c>
      <c r="B35" s="9"/>
      <c r="C35" s="1" t="s">
        <v>18</v>
      </c>
      <c r="D35" s="9" t="s">
        <v>118</v>
      </c>
      <c r="E35" s="2">
        <v>33</v>
      </c>
      <c r="F35" s="2">
        <v>10</v>
      </c>
      <c r="G35" s="2">
        <v>11</v>
      </c>
      <c r="H35" s="2">
        <v>7</v>
      </c>
      <c r="I35" s="2">
        <v>3</v>
      </c>
      <c r="J35" s="2">
        <v>0</v>
      </c>
      <c r="K35" s="2">
        <v>1</v>
      </c>
      <c r="L35" s="2">
        <v>9</v>
      </c>
      <c r="M35" s="2">
        <v>0</v>
      </c>
      <c r="N35" s="2">
        <v>1</v>
      </c>
      <c r="O35" s="2">
        <v>6</v>
      </c>
      <c r="P35" s="2">
        <v>4</v>
      </c>
      <c r="Q35" s="2">
        <v>0</v>
      </c>
      <c r="R35" s="3">
        <v>1</v>
      </c>
    </row>
    <row r="36" spans="1:18" x14ac:dyDescent="0.25">
      <c r="A36" s="8">
        <v>44826</v>
      </c>
      <c r="B36" s="9"/>
      <c r="C36" s="1" t="s">
        <v>18</v>
      </c>
      <c r="D36" s="9" t="s">
        <v>127</v>
      </c>
      <c r="E36" s="2">
        <v>36</v>
      </c>
      <c r="F36" s="2">
        <v>10</v>
      </c>
      <c r="G36" s="2">
        <v>12</v>
      </c>
      <c r="H36" s="2">
        <v>7</v>
      </c>
      <c r="I36" s="2">
        <v>4</v>
      </c>
      <c r="J36" s="2">
        <v>0</v>
      </c>
      <c r="K36" s="2">
        <v>1</v>
      </c>
      <c r="L36" s="2">
        <v>9</v>
      </c>
      <c r="M36" s="2">
        <v>1</v>
      </c>
      <c r="N36" s="2">
        <v>0</v>
      </c>
      <c r="O36" s="2">
        <v>5</v>
      </c>
      <c r="P36" s="2">
        <v>8</v>
      </c>
      <c r="Q36" s="2">
        <v>0</v>
      </c>
      <c r="R36" s="3">
        <v>0</v>
      </c>
    </row>
    <row r="37" spans="1:18" x14ac:dyDescent="0.25">
      <c r="A37" s="8">
        <v>44825</v>
      </c>
      <c r="B37" s="9"/>
      <c r="C37" s="1" t="s">
        <v>35</v>
      </c>
      <c r="D37" s="9" t="s">
        <v>94</v>
      </c>
      <c r="E37" s="2">
        <v>34</v>
      </c>
      <c r="F37" s="2">
        <v>2</v>
      </c>
      <c r="G37" s="2">
        <v>7</v>
      </c>
      <c r="H37" s="2">
        <v>4</v>
      </c>
      <c r="I37" s="2">
        <v>2</v>
      </c>
      <c r="J37" s="2">
        <v>0</v>
      </c>
      <c r="K37" s="2">
        <v>1</v>
      </c>
      <c r="L37" s="2">
        <v>2</v>
      </c>
      <c r="M37" s="2">
        <v>1</v>
      </c>
      <c r="N37" s="2">
        <v>0</v>
      </c>
      <c r="O37" s="2">
        <v>3</v>
      </c>
      <c r="P37" s="2">
        <v>10</v>
      </c>
      <c r="Q37" s="2">
        <v>0</v>
      </c>
      <c r="R37" s="3">
        <v>0</v>
      </c>
    </row>
    <row r="38" spans="1:18" x14ac:dyDescent="0.25">
      <c r="A38" s="8">
        <v>44824</v>
      </c>
      <c r="B38" s="9"/>
      <c r="C38" s="1" t="s">
        <v>35</v>
      </c>
      <c r="D38" s="9" t="s">
        <v>128</v>
      </c>
      <c r="E38" s="2">
        <v>29</v>
      </c>
      <c r="F38" s="2">
        <v>0</v>
      </c>
      <c r="G38" s="2">
        <v>3</v>
      </c>
      <c r="H38" s="2">
        <v>2</v>
      </c>
      <c r="I38" s="2">
        <v>1</v>
      </c>
      <c r="J38" s="2">
        <v>0</v>
      </c>
      <c r="K38" s="2">
        <v>0</v>
      </c>
      <c r="L38" s="2">
        <v>0</v>
      </c>
      <c r="M38" s="2">
        <v>0</v>
      </c>
      <c r="N38" s="2">
        <v>0</v>
      </c>
      <c r="O38" s="2">
        <v>6</v>
      </c>
      <c r="P38" s="2">
        <v>12</v>
      </c>
      <c r="Q38" s="2">
        <v>0</v>
      </c>
      <c r="R38" s="3">
        <v>0</v>
      </c>
    </row>
    <row r="39" spans="1:18" x14ac:dyDescent="0.25">
      <c r="A39" s="8">
        <v>44823</v>
      </c>
      <c r="B39" s="9"/>
      <c r="C39" s="1" t="s">
        <v>35</v>
      </c>
      <c r="D39" s="9" t="s">
        <v>129</v>
      </c>
      <c r="E39" s="2">
        <v>32</v>
      </c>
      <c r="F39" s="2">
        <v>0</v>
      </c>
      <c r="G39" s="2">
        <v>5</v>
      </c>
      <c r="H39" s="2">
        <v>3</v>
      </c>
      <c r="I39" s="2">
        <v>2</v>
      </c>
      <c r="J39" s="2">
        <v>0</v>
      </c>
      <c r="K39" s="2">
        <v>0</v>
      </c>
      <c r="L39" s="2">
        <v>0</v>
      </c>
      <c r="M39" s="2">
        <v>1</v>
      </c>
      <c r="N39" s="2">
        <v>0</v>
      </c>
      <c r="O39" s="2">
        <v>5</v>
      </c>
      <c r="P39" s="2">
        <v>9</v>
      </c>
      <c r="Q39" s="2">
        <v>0</v>
      </c>
      <c r="R39" s="3">
        <v>0</v>
      </c>
    </row>
    <row r="40" spans="1:18" x14ac:dyDescent="0.25">
      <c r="A40" s="8">
        <v>44822</v>
      </c>
      <c r="B40" s="9"/>
      <c r="C40" s="1" t="s">
        <v>19</v>
      </c>
      <c r="D40" s="9" t="s">
        <v>75</v>
      </c>
      <c r="E40" s="2">
        <v>33</v>
      </c>
      <c r="F40" s="2">
        <v>5</v>
      </c>
      <c r="G40" s="2">
        <v>10</v>
      </c>
      <c r="H40" s="2">
        <v>6</v>
      </c>
      <c r="I40" s="2">
        <v>2</v>
      </c>
      <c r="J40" s="2">
        <v>0</v>
      </c>
      <c r="K40" s="2">
        <v>2</v>
      </c>
      <c r="L40" s="2">
        <v>5</v>
      </c>
      <c r="M40" s="2">
        <v>1</v>
      </c>
      <c r="N40" s="2">
        <v>0</v>
      </c>
      <c r="O40" s="2">
        <v>2</v>
      </c>
      <c r="P40" s="2">
        <v>8</v>
      </c>
      <c r="Q40" s="2">
        <v>0</v>
      </c>
      <c r="R40" s="3">
        <v>0</v>
      </c>
    </row>
    <row r="41" spans="1:18" x14ac:dyDescent="0.25">
      <c r="A41" s="8">
        <v>44821</v>
      </c>
      <c r="B41" s="9"/>
      <c r="C41" s="1" t="s">
        <v>19</v>
      </c>
      <c r="D41" s="9" t="s">
        <v>77</v>
      </c>
      <c r="E41" s="2">
        <v>27</v>
      </c>
      <c r="F41" s="2">
        <v>5</v>
      </c>
      <c r="G41" s="2">
        <v>7</v>
      </c>
      <c r="H41" s="2">
        <v>5</v>
      </c>
      <c r="I41" s="2">
        <v>1</v>
      </c>
      <c r="J41" s="2">
        <v>0</v>
      </c>
      <c r="K41" s="2">
        <v>1</v>
      </c>
      <c r="L41" s="2">
        <v>5</v>
      </c>
      <c r="M41" s="2">
        <v>1</v>
      </c>
      <c r="N41" s="2">
        <v>0</v>
      </c>
      <c r="O41" s="2">
        <v>2</v>
      </c>
      <c r="P41" s="2">
        <v>5</v>
      </c>
      <c r="Q41" s="2">
        <v>1</v>
      </c>
      <c r="R41" s="3">
        <v>0</v>
      </c>
    </row>
    <row r="42" spans="1:18" x14ac:dyDescent="0.25">
      <c r="A42" s="8">
        <v>44820</v>
      </c>
      <c r="B42" s="9"/>
      <c r="C42" s="1" t="s">
        <v>19</v>
      </c>
      <c r="D42" s="9" t="s">
        <v>92</v>
      </c>
      <c r="E42" s="2">
        <v>37</v>
      </c>
      <c r="F42" s="2">
        <v>3</v>
      </c>
      <c r="G42" s="2">
        <v>10</v>
      </c>
      <c r="H42" s="2">
        <v>8</v>
      </c>
      <c r="I42" s="2">
        <v>2</v>
      </c>
      <c r="J42" s="2">
        <v>0</v>
      </c>
      <c r="K42" s="2">
        <v>0</v>
      </c>
      <c r="L42" s="2">
        <v>3</v>
      </c>
      <c r="M42" s="2">
        <v>0</v>
      </c>
      <c r="N42" s="2">
        <v>0</v>
      </c>
      <c r="O42" s="2">
        <v>3</v>
      </c>
      <c r="P42" s="2">
        <v>5</v>
      </c>
      <c r="Q42" s="2">
        <v>2</v>
      </c>
      <c r="R42" s="3">
        <v>0</v>
      </c>
    </row>
    <row r="43" spans="1:18" x14ac:dyDescent="0.25">
      <c r="A43" s="8">
        <v>44819</v>
      </c>
      <c r="B43" s="9" t="s">
        <v>68</v>
      </c>
      <c r="C43" s="1" t="s">
        <v>18</v>
      </c>
      <c r="D43" s="9" t="s">
        <v>116</v>
      </c>
      <c r="E43" s="2">
        <v>37</v>
      </c>
      <c r="F43" s="2">
        <v>11</v>
      </c>
      <c r="G43" s="2">
        <v>11</v>
      </c>
      <c r="H43" s="2">
        <v>7</v>
      </c>
      <c r="I43" s="2">
        <v>2</v>
      </c>
      <c r="J43" s="2">
        <v>0</v>
      </c>
      <c r="K43" s="2">
        <v>2</v>
      </c>
      <c r="L43" s="2">
        <v>11</v>
      </c>
      <c r="M43" s="2">
        <v>1</v>
      </c>
      <c r="N43" s="2">
        <v>1</v>
      </c>
      <c r="O43" s="2">
        <v>4</v>
      </c>
      <c r="P43" s="2">
        <v>7</v>
      </c>
      <c r="Q43" s="2">
        <v>1</v>
      </c>
      <c r="R43" s="3">
        <v>0</v>
      </c>
    </row>
    <row r="44" spans="1:18" x14ac:dyDescent="0.25">
      <c r="A44" s="8">
        <v>44818</v>
      </c>
      <c r="B44" s="9" t="s">
        <v>68</v>
      </c>
      <c r="C44" s="1" t="s">
        <v>18</v>
      </c>
      <c r="D44" s="9" t="s">
        <v>99</v>
      </c>
      <c r="E44" s="2">
        <v>34</v>
      </c>
      <c r="F44" s="2">
        <v>1</v>
      </c>
      <c r="G44" s="2">
        <v>7</v>
      </c>
      <c r="H44" s="2">
        <v>4</v>
      </c>
      <c r="I44" s="2">
        <v>2</v>
      </c>
      <c r="J44" s="2">
        <v>0</v>
      </c>
      <c r="K44" s="2">
        <v>1</v>
      </c>
      <c r="L44" s="2">
        <v>1</v>
      </c>
      <c r="M44" s="2">
        <v>0</v>
      </c>
      <c r="N44" s="2">
        <v>0</v>
      </c>
      <c r="O44" s="2">
        <v>2</v>
      </c>
      <c r="P44" s="2">
        <v>8</v>
      </c>
      <c r="Q44" s="2">
        <v>0</v>
      </c>
      <c r="R44" s="3">
        <v>0</v>
      </c>
    </row>
    <row r="45" spans="1:18" x14ac:dyDescent="0.25">
      <c r="A45" s="8">
        <v>44817</v>
      </c>
      <c r="B45" s="9" t="s">
        <v>68</v>
      </c>
      <c r="C45" s="1" t="s">
        <v>18</v>
      </c>
      <c r="D45" s="9" t="s">
        <v>93</v>
      </c>
      <c r="E45" s="2">
        <v>33</v>
      </c>
      <c r="F45" s="2">
        <v>2</v>
      </c>
      <c r="G45" s="2">
        <v>7</v>
      </c>
      <c r="H45" s="2">
        <v>5</v>
      </c>
      <c r="I45" s="2">
        <v>0</v>
      </c>
      <c r="J45" s="2">
        <v>0</v>
      </c>
      <c r="K45" s="2">
        <v>2</v>
      </c>
      <c r="L45" s="2">
        <v>2</v>
      </c>
      <c r="M45" s="2">
        <v>1</v>
      </c>
      <c r="N45" s="2">
        <v>1</v>
      </c>
      <c r="O45" s="2">
        <v>3</v>
      </c>
      <c r="P45" s="2">
        <v>6</v>
      </c>
      <c r="Q45" s="2">
        <v>1</v>
      </c>
      <c r="R45" s="3">
        <v>0</v>
      </c>
    </row>
    <row r="46" spans="1:18" x14ac:dyDescent="0.25">
      <c r="A46" s="8">
        <v>44817</v>
      </c>
      <c r="B46" s="9" t="s">
        <v>68</v>
      </c>
      <c r="C46" s="1" t="s">
        <v>18</v>
      </c>
      <c r="D46" s="9" t="s">
        <v>80</v>
      </c>
      <c r="E46" s="2">
        <v>34</v>
      </c>
      <c r="F46" s="2">
        <v>4</v>
      </c>
      <c r="G46" s="2">
        <v>9</v>
      </c>
      <c r="H46" s="2">
        <v>8</v>
      </c>
      <c r="I46" s="2">
        <v>1</v>
      </c>
      <c r="J46" s="2">
        <v>0</v>
      </c>
      <c r="K46" s="2">
        <v>0</v>
      </c>
      <c r="L46" s="2">
        <v>4</v>
      </c>
      <c r="M46" s="2">
        <v>1</v>
      </c>
      <c r="N46" s="2">
        <v>0</v>
      </c>
      <c r="O46" s="2">
        <v>0</v>
      </c>
      <c r="P46" s="2">
        <v>4</v>
      </c>
      <c r="Q46" s="2">
        <v>0</v>
      </c>
      <c r="R46" s="3">
        <v>0</v>
      </c>
    </row>
    <row r="47" spans="1:18" x14ac:dyDescent="0.25">
      <c r="A47" s="8">
        <v>44816</v>
      </c>
      <c r="B47" s="9" t="s">
        <v>68</v>
      </c>
      <c r="C47" s="1" t="s">
        <v>18</v>
      </c>
      <c r="D47" s="9" t="s">
        <v>130</v>
      </c>
      <c r="E47" s="2">
        <v>32</v>
      </c>
      <c r="F47" s="2">
        <v>2</v>
      </c>
      <c r="G47" s="2">
        <v>6</v>
      </c>
      <c r="H47" s="2">
        <v>5</v>
      </c>
      <c r="I47" s="2">
        <v>1</v>
      </c>
      <c r="J47" s="2">
        <v>0</v>
      </c>
      <c r="K47" s="2">
        <v>0</v>
      </c>
      <c r="L47" s="2">
        <v>2</v>
      </c>
      <c r="M47" s="2">
        <v>0</v>
      </c>
      <c r="N47" s="2">
        <v>0</v>
      </c>
      <c r="O47" s="2">
        <v>1</v>
      </c>
      <c r="P47" s="2">
        <v>5</v>
      </c>
      <c r="Q47" s="2">
        <v>2</v>
      </c>
      <c r="R47" s="3">
        <v>0</v>
      </c>
    </row>
    <row r="48" spans="1:18" x14ac:dyDescent="0.25">
      <c r="A48" s="8">
        <v>44815</v>
      </c>
      <c r="B48" s="9" t="s">
        <v>68</v>
      </c>
      <c r="C48" s="1" t="s">
        <v>27</v>
      </c>
      <c r="D48" s="9" t="s">
        <v>131</v>
      </c>
      <c r="E48" s="2">
        <v>36</v>
      </c>
      <c r="F48" s="2">
        <v>4</v>
      </c>
      <c r="G48" s="2">
        <v>10</v>
      </c>
      <c r="H48" s="2">
        <v>8</v>
      </c>
      <c r="I48" s="2">
        <v>2</v>
      </c>
      <c r="J48" s="2">
        <v>0</v>
      </c>
      <c r="K48" s="2">
        <v>0</v>
      </c>
      <c r="L48" s="2">
        <v>4</v>
      </c>
      <c r="M48" s="2">
        <v>0</v>
      </c>
      <c r="N48" s="2">
        <v>0</v>
      </c>
      <c r="O48" s="2">
        <v>3</v>
      </c>
      <c r="P48" s="2">
        <v>9</v>
      </c>
      <c r="Q48" s="2">
        <v>0</v>
      </c>
      <c r="R48" s="3">
        <v>0</v>
      </c>
    </row>
    <row r="49" spans="1:18" x14ac:dyDescent="0.25">
      <c r="A49" s="8">
        <v>44814</v>
      </c>
      <c r="B49" s="9" t="s">
        <v>68</v>
      </c>
      <c r="C49" s="1" t="s">
        <v>27</v>
      </c>
      <c r="D49" s="9" t="s">
        <v>132</v>
      </c>
      <c r="E49" s="2">
        <v>34</v>
      </c>
      <c r="F49" s="2">
        <v>3</v>
      </c>
      <c r="G49" s="2">
        <v>7</v>
      </c>
      <c r="H49" s="2">
        <v>5</v>
      </c>
      <c r="I49" s="2">
        <v>2</v>
      </c>
      <c r="J49" s="2">
        <v>0</v>
      </c>
      <c r="K49" s="2">
        <v>0</v>
      </c>
      <c r="L49" s="2">
        <v>3</v>
      </c>
      <c r="M49" s="2">
        <v>0</v>
      </c>
      <c r="N49" s="2">
        <v>0</v>
      </c>
      <c r="O49" s="2">
        <v>1</v>
      </c>
      <c r="P49" s="2">
        <v>9</v>
      </c>
      <c r="Q49" s="2">
        <v>0</v>
      </c>
      <c r="R49" s="3">
        <v>0</v>
      </c>
    </row>
    <row r="50" spans="1:18" x14ac:dyDescent="0.25">
      <c r="A50" s="8">
        <v>44813</v>
      </c>
      <c r="B50" s="9" t="s">
        <v>68</v>
      </c>
      <c r="C50" s="1" t="s">
        <v>27</v>
      </c>
      <c r="D50" s="9" t="s">
        <v>80</v>
      </c>
      <c r="E50" s="2">
        <v>37</v>
      </c>
      <c r="F50" s="2">
        <v>4</v>
      </c>
      <c r="G50" s="2">
        <v>11</v>
      </c>
      <c r="H50" s="2">
        <v>7</v>
      </c>
      <c r="I50" s="2">
        <v>4</v>
      </c>
      <c r="J50" s="2">
        <v>0</v>
      </c>
      <c r="K50" s="2">
        <v>0</v>
      </c>
      <c r="L50" s="2">
        <v>4</v>
      </c>
      <c r="M50" s="2">
        <v>1</v>
      </c>
      <c r="N50" s="2">
        <v>0</v>
      </c>
      <c r="O50" s="2">
        <v>4</v>
      </c>
      <c r="P50" s="2">
        <v>5</v>
      </c>
      <c r="Q50" s="2">
        <v>1</v>
      </c>
      <c r="R50" s="3">
        <v>0</v>
      </c>
    </row>
    <row r="51" spans="1:18" x14ac:dyDescent="0.25">
      <c r="A51" s="8">
        <v>44811</v>
      </c>
      <c r="B51" s="9"/>
      <c r="C51" s="1" t="s">
        <v>42</v>
      </c>
      <c r="D51" s="9" t="s">
        <v>115</v>
      </c>
      <c r="E51" s="2">
        <v>27</v>
      </c>
      <c r="F51" s="2">
        <v>1</v>
      </c>
      <c r="G51" s="2">
        <v>4</v>
      </c>
      <c r="H51" s="2">
        <v>2</v>
      </c>
      <c r="I51" s="2">
        <v>2</v>
      </c>
      <c r="J51" s="2">
        <v>0</v>
      </c>
      <c r="K51" s="2">
        <v>0</v>
      </c>
      <c r="L51" s="2">
        <v>1</v>
      </c>
      <c r="M51" s="2">
        <v>2</v>
      </c>
      <c r="N51" s="2">
        <v>0</v>
      </c>
      <c r="O51" s="2">
        <v>4</v>
      </c>
      <c r="P51" s="2">
        <v>4</v>
      </c>
      <c r="Q51" s="2">
        <v>0</v>
      </c>
      <c r="R51" s="3">
        <v>1</v>
      </c>
    </row>
    <row r="52" spans="1:18" x14ac:dyDescent="0.25">
      <c r="A52" s="8">
        <v>44810</v>
      </c>
      <c r="B52" s="9"/>
      <c r="C52" s="1" t="s">
        <v>42</v>
      </c>
      <c r="D52" s="9" t="s">
        <v>133</v>
      </c>
      <c r="E52" s="2">
        <v>34</v>
      </c>
      <c r="F52" s="2">
        <v>8</v>
      </c>
      <c r="G52" s="2">
        <v>13</v>
      </c>
      <c r="H52" s="2">
        <v>6</v>
      </c>
      <c r="I52" s="2">
        <v>4</v>
      </c>
      <c r="J52" s="2">
        <v>0</v>
      </c>
      <c r="K52" s="2">
        <v>3</v>
      </c>
      <c r="L52" s="2">
        <v>8</v>
      </c>
      <c r="M52" s="2">
        <v>0</v>
      </c>
      <c r="N52" s="2">
        <v>0</v>
      </c>
      <c r="O52" s="2">
        <v>2</v>
      </c>
      <c r="P52" s="2">
        <v>8</v>
      </c>
      <c r="Q52" s="2">
        <v>1</v>
      </c>
      <c r="R52" s="3">
        <v>0</v>
      </c>
    </row>
    <row r="53" spans="1:18" x14ac:dyDescent="0.25">
      <c r="A53" s="8">
        <v>44809</v>
      </c>
      <c r="B53" s="9"/>
      <c r="C53" s="1" t="s">
        <v>42</v>
      </c>
      <c r="D53" s="9" t="s">
        <v>79</v>
      </c>
      <c r="E53" s="2">
        <v>33</v>
      </c>
      <c r="F53" s="2">
        <v>4</v>
      </c>
      <c r="G53" s="2">
        <v>9</v>
      </c>
      <c r="H53" s="2">
        <v>4</v>
      </c>
      <c r="I53" s="2">
        <v>5</v>
      </c>
      <c r="J53" s="2">
        <v>0</v>
      </c>
      <c r="K53" s="2">
        <v>0</v>
      </c>
      <c r="L53" s="2">
        <v>4</v>
      </c>
      <c r="M53" s="2">
        <v>1</v>
      </c>
      <c r="N53" s="2">
        <v>0</v>
      </c>
      <c r="O53" s="2">
        <v>0</v>
      </c>
      <c r="P53" s="2">
        <v>8</v>
      </c>
      <c r="Q53" s="2">
        <v>1</v>
      </c>
      <c r="R53" s="3">
        <v>0</v>
      </c>
    </row>
    <row r="54" spans="1:18" x14ac:dyDescent="0.25">
      <c r="A54" s="8">
        <v>44808</v>
      </c>
      <c r="B54" s="9"/>
      <c r="C54" s="1" t="s">
        <v>27</v>
      </c>
      <c r="D54" s="9" t="s">
        <v>102</v>
      </c>
      <c r="E54" s="2">
        <v>34</v>
      </c>
      <c r="F54" s="2">
        <v>1</v>
      </c>
      <c r="G54" s="2">
        <v>6</v>
      </c>
      <c r="H54" s="2">
        <v>3</v>
      </c>
      <c r="I54" s="2">
        <v>3</v>
      </c>
      <c r="J54" s="2">
        <v>0</v>
      </c>
      <c r="K54" s="2">
        <v>0</v>
      </c>
      <c r="L54" s="2">
        <v>1</v>
      </c>
      <c r="M54" s="2">
        <v>0</v>
      </c>
      <c r="N54" s="2">
        <v>0</v>
      </c>
      <c r="O54" s="2">
        <v>2</v>
      </c>
      <c r="P54" s="2">
        <v>12</v>
      </c>
      <c r="Q54" s="2">
        <v>0</v>
      </c>
      <c r="R54" s="3">
        <v>0</v>
      </c>
    </row>
    <row r="55" spans="1:18" x14ac:dyDescent="0.25">
      <c r="A55" s="8">
        <v>44807</v>
      </c>
      <c r="B55" s="9"/>
      <c r="C55" s="1" t="s">
        <v>27</v>
      </c>
      <c r="D55" s="9" t="s">
        <v>86</v>
      </c>
      <c r="E55" s="2">
        <v>27</v>
      </c>
      <c r="F55" s="2">
        <v>2</v>
      </c>
      <c r="G55" s="2">
        <v>7</v>
      </c>
      <c r="H55" s="2">
        <v>7</v>
      </c>
      <c r="I55" s="2">
        <v>0</v>
      </c>
      <c r="J55" s="2">
        <v>0</v>
      </c>
      <c r="K55" s="2">
        <v>0</v>
      </c>
      <c r="L55" s="2">
        <v>2</v>
      </c>
      <c r="M55" s="2">
        <v>1</v>
      </c>
      <c r="N55" s="2">
        <v>1</v>
      </c>
      <c r="O55" s="2">
        <v>2</v>
      </c>
      <c r="P55" s="2">
        <v>5</v>
      </c>
      <c r="Q55" s="2">
        <v>1</v>
      </c>
      <c r="R55" s="3">
        <v>0</v>
      </c>
    </row>
    <row r="56" spans="1:18" x14ac:dyDescent="0.25">
      <c r="A56" s="8">
        <v>44806</v>
      </c>
      <c r="B56" s="9"/>
      <c r="C56" s="1" t="s">
        <v>27</v>
      </c>
      <c r="D56" s="9" t="s">
        <v>134</v>
      </c>
      <c r="E56" s="2">
        <v>34</v>
      </c>
      <c r="F56" s="2">
        <v>9</v>
      </c>
      <c r="G56" s="2">
        <v>11</v>
      </c>
      <c r="H56" s="2">
        <v>9</v>
      </c>
      <c r="I56" s="2">
        <v>1</v>
      </c>
      <c r="J56" s="2">
        <v>0</v>
      </c>
      <c r="K56" s="2">
        <v>1</v>
      </c>
      <c r="L56" s="2">
        <v>8</v>
      </c>
      <c r="M56" s="2">
        <v>0</v>
      </c>
      <c r="N56" s="2">
        <v>0</v>
      </c>
      <c r="O56" s="2">
        <v>5</v>
      </c>
      <c r="P56" s="2">
        <v>3</v>
      </c>
      <c r="Q56" s="2">
        <v>1</v>
      </c>
      <c r="R56" s="3">
        <v>0</v>
      </c>
    </row>
    <row r="57" spans="1:18" x14ac:dyDescent="0.25">
      <c r="A57" s="8">
        <v>44804</v>
      </c>
      <c r="B57" s="9" t="s">
        <v>68</v>
      </c>
      <c r="C57" s="1" t="s">
        <v>31</v>
      </c>
      <c r="D57" s="9" t="s">
        <v>135</v>
      </c>
      <c r="E57" s="2">
        <v>38</v>
      </c>
      <c r="F57" s="2">
        <v>2</v>
      </c>
      <c r="G57" s="2">
        <v>10</v>
      </c>
      <c r="H57" s="2">
        <v>8</v>
      </c>
      <c r="I57" s="2">
        <v>2</v>
      </c>
      <c r="J57" s="2">
        <v>0</v>
      </c>
      <c r="K57" s="2">
        <v>0</v>
      </c>
      <c r="L57" s="2">
        <v>2</v>
      </c>
      <c r="M57" s="2">
        <v>1</v>
      </c>
      <c r="N57" s="2">
        <v>0</v>
      </c>
      <c r="O57" s="2">
        <v>2</v>
      </c>
      <c r="P57" s="2">
        <v>9</v>
      </c>
      <c r="Q57" s="2">
        <v>0</v>
      </c>
      <c r="R57" s="3">
        <v>1</v>
      </c>
    </row>
    <row r="58" spans="1:18" x14ac:dyDescent="0.25">
      <c r="A58" s="8">
        <v>44803</v>
      </c>
      <c r="B58" s="9" t="s">
        <v>68</v>
      </c>
      <c r="C58" s="1" t="s">
        <v>31</v>
      </c>
      <c r="D58" s="9" t="s">
        <v>114</v>
      </c>
      <c r="E58" s="2">
        <v>41</v>
      </c>
      <c r="F58" s="2">
        <v>7</v>
      </c>
      <c r="G58" s="2">
        <v>14</v>
      </c>
      <c r="H58" s="2">
        <v>8</v>
      </c>
      <c r="I58" s="2">
        <v>4</v>
      </c>
      <c r="J58" s="2">
        <v>0</v>
      </c>
      <c r="K58" s="2">
        <v>2</v>
      </c>
      <c r="L58" s="2">
        <v>6</v>
      </c>
      <c r="M58" s="2">
        <v>2</v>
      </c>
      <c r="N58" s="2">
        <v>0</v>
      </c>
      <c r="O58" s="2">
        <v>2</v>
      </c>
      <c r="P58" s="2">
        <v>10</v>
      </c>
      <c r="Q58" s="2">
        <v>1</v>
      </c>
      <c r="R58" s="3">
        <v>0</v>
      </c>
    </row>
    <row r="59" spans="1:18" x14ac:dyDescent="0.25">
      <c r="A59" s="8">
        <v>44801</v>
      </c>
      <c r="B59" s="9" t="s">
        <v>68</v>
      </c>
      <c r="C59" s="1" t="s">
        <v>42</v>
      </c>
      <c r="D59" s="9" t="s">
        <v>136</v>
      </c>
      <c r="E59" s="2">
        <v>42</v>
      </c>
      <c r="F59" s="2">
        <v>12</v>
      </c>
      <c r="G59" s="2">
        <v>17</v>
      </c>
      <c r="H59" s="2">
        <v>10</v>
      </c>
      <c r="I59" s="2">
        <v>5</v>
      </c>
      <c r="J59" s="2">
        <v>0</v>
      </c>
      <c r="K59" s="2">
        <v>2</v>
      </c>
      <c r="L59" s="2">
        <v>12</v>
      </c>
      <c r="M59" s="2">
        <v>1</v>
      </c>
      <c r="N59" s="2">
        <v>0</v>
      </c>
      <c r="O59" s="2">
        <v>6</v>
      </c>
      <c r="P59" s="2">
        <v>7</v>
      </c>
      <c r="Q59" s="2">
        <v>0</v>
      </c>
      <c r="R59" s="3">
        <v>0</v>
      </c>
    </row>
    <row r="60" spans="1:18" x14ac:dyDescent="0.25">
      <c r="A60" s="8">
        <v>44800</v>
      </c>
      <c r="B60" s="9" t="s">
        <v>68</v>
      </c>
      <c r="C60" s="1" t="s">
        <v>42</v>
      </c>
      <c r="D60" s="9" t="s">
        <v>99</v>
      </c>
      <c r="E60" s="2">
        <v>33</v>
      </c>
      <c r="F60" s="2">
        <v>1</v>
      </c>
      <c r="G60" s="2">
        <v>6</v>
      </c>
      <c r="H60" s="2">
        <v>6</v>
      </c>
      <c r="I60" s="2">
        <v>0</v>
      </c>
      <c r="J60" s="2">
        <v>0</v>
      </c>
      <c r="K60" s="2">
        <v>0</v>
      </c>
      <c r="L60" s="2">
        <v>1</v>
      </c>
      <c r="M60" s="2">
        <v>1</v>
      </c>
      <c r="N60" s="2">
        <v>0</v>
      </c>
      <c r="O60" s="2">
        <v>2</v>
      </c>
      <c r="P60" s="2">
        <v>12</v>
      </c>
      <c r="Q60" s="2">
        <v>0</v>
      </c>
      <c r="R60" s="3">
        <v>0</v>
      </c>
    </row>
    <row r="61" spans="1:18" x14ac:dyDescent="0.25">
      <c r="A61" s="8">
        <v>44799</v>
      </c>
      <c r="B61" s="9" t="s">
        <v>68</v>
      </c>
      <c r="C61" s="1" t="s">
        <v>42</v>
      </c>
      <c r="D61" s="9" t="s">
        <v>137</v>
      </c>
      <c r="E61" s="2">
        <v>34</v>
      </c>
      <c r="F61" s="2">
        <v>8</v>
      </c>
      <c r="G61" s="2">
        <v>9</v>
      </c>
      <c r="H61" s="2">
        <v>3</v>
      </c>
      <c r="I61" s="2">
        <v>3</v>
      </c>
      <c r="J61" s="2">
        <v>0</v>
      </c>
      <c r="K61" s="2">
        <v>3</v>
      </c>
      <c r="L61" s="2">
        <v>8</v>
      </c>
      <c r="M61" s="2">
        <v>1</v>
      </c>
      <c r="N61" s="2">
        <v>0</v>
      </c>
      <c r="O61" s="2">
        <v>2</v>
      </c>
      <c r="P61" s="2">
        <v>10</v>
      </c>
      <c r="Q61" s="2">
        <v>2</v>
      </c>
      <c r="R61" s="3">
        <v>0</v>
      </c>
    </row>
    <row r="62" spans="1:18" x14ac:dyDescent="0.25">
      <c r="A62" s="8">
        <v>44798</v>
      </c>
      <c r="B62" s="9"/>
      <c r="C62" s="1" t="s">
        <v>33</v>
      </c>
      <c r="D62" s="9" t="s">
        <v>138</v>
      </c>
      <c r="E62" s="2">
        <v>32</v>
      </c>
      <c r="F62" s="2">
        <v>8</v>
      </c>
      <c r="G62" s="2">
        <v>7</v>
      </c>
      <c r="H62" s="2">
        <v>4</v>
      </c>
      <c r="I62" s="2">
        <v>1</v>
      </c>
      <c r="J62" s="2">
        <v>1</v>
      </c>
      <c r="K62" s="2">
        <v>1</v>
      </c>
      <c r="L62" s="2">
        <v>7</v>
      </c>
      <c r="M62" s="2">
        <v>0</v>
      </c>
      <c r="N62" s="2">
        <v>0</v>
      </c>
      <c r="O62" s="2">
        <v>4</v>
      </c>
      <c r="P62" s="2">
        <v>8</v>
      </c>
      <c r="Q62" s="2">
        <v>2</v>
      </c>
      <c r="R62" s="3">
        <v>0</v>
      </c>
    </row>
    <row r="63" spans="1:18" x14ac:dyDescent="0.25">
      <c r="A63" s="8">
        <v>44797</v>
      </c>
      <c r="B63" s="9"/>
      <c r="C63" s="1" t="s">
        <v>33</v>
      </c>
      <c r="D63" s="9" t="s">
        <v>139</v>
      </c>
      <c r="E63" s="2">
        <v>35</v>
      </c>
      <c r="F63" s="2">
        <v>4</v>
      </c>
      <c r="G63" s="2">
        <v>5</v>
      </c>
      <c r="H63" s="2">
        <v>3</v>
      </c>
      <c r="I63" s="2">
        <v>2</v>
      </c>
      <c r="J63" s="2">
        <v>0</v>
      </c>
      <c r="K63" s="2">
        <v>0</v>
      </c>
      <c r="L63" s="2">
        <v>3</v>
      </c>
      <c r="M63" s="2">
        <v>1</v>
      </c>
      <c r="N63" s="2">
        <v>0</v>
      </c>
      <c r="O63" s="2">
        <v>5</v>
      </c>
      <c r="P63" s="2">
        <v>8</v>
      </c>
      <c r="Q63" s="2">
        <v>0</v>
      </c>
      <c r="R63" s="3">
        <v>1</v>
      </c>
    </row>
    <row r="64" spans="1:18" x14ac:dyDescent="0.25">
      <c r="A64" s="8">
        <v>44796</v>
      </c>
      <c r="B64" s="9"/>
      <c r="C64" s="1" t="s">
        <v>33</v>
      </c>
      <c r="D64" s="9" t="s">
        <v>140</v>
      </c>
      <c r="E64" s="2">
        <v>38</v>
      </c>
      <c r="F64" s="2">
        <v>11</v>
      </c>
      <c r="G64" s="2">
        <v>14</v>
      </c>
      <c r="H64" s="2">
        <v>8</v>
      </c>
      <c r="I64" s="2">
        <v>4</v>
      </c>
      <c r="J64" s="2">
        <v>0</v>
      </c>
      <c r="K64" s="2">
        <v>2</v>
      </c>
      <c r="L64" s="2">
        <v>11</v>
      </c>
      <c r="M64" s="2">
        <v>0</v>
      </c>
      <c r="N64" s="2">
        <v>0</v>
      </c>
      <c r="O64" s="2">
        <v>4</v>
      </c>
      <c r="P64" s="2">
        <v>8</v>
      </c>
      <c r="Q64" s="2">
        <v>0</v>
      </c>
      <c r="R64" s="3">
        <v>0</v>
      </c>
    </row>
    <row r="65" spans="1:18" x14ac:dyDescent="0.25">
      <c r="A65" s="8">
        <v>44795</v>
      </c>
      <c r="B65" s="9"/>
      <c r="C65" s="1" t="s">
        <v>33</v>
      </c>
      <c r="D65" s="9" t="s">
        <v>86</v>
      </c>
      <c r="E65" s="2">
        <v>29</v>
      </c>
      <c r="F65" s="2">
        <v>2</v>
      </c>
      <c r="G65" s="2">
        <v>7</v>
      </c>
      <c r="H65" s="2">
        <v>5</v>
      </c>
      <c r="I65" s="2">
        <v>1</v>
      </c>
      <c r="J65" s="2">
        <v>0</v>
      </c>
      <c r="K65" s="2">
        <v>1</v>
      </c>
      <c r="L65" s="2">
        <v>2</v>
      </c>
      <c r="M65" s="2">
        <v>0</v>
      </c>
      <c r="N65" s="2">
        <v>0</v>
      </c>
      <c r="O65" s="2">
        <v>5</v>
      </c>
      <c r="P65" s="2">
        <v>4</v>
      </c>
      <c r="Q65" s="2">
        <v>0</v>
      </c>
      <c r="R65" s="3">
        <v>0</v>
      </c>
    </row>
    <row r="66" spans="1:18" x14ac:dyDescent="0.25">
      <c r="A66" s="8">
        <v>44794</v>
      </c>
      <c r="B66" s="9"/>
      <c r="C66" s="1" t="s">
        <v>34</v>
      </c>
      <c r="D66" s="9" t="s">
        <v>83</v>
      </c>
      <c r="E66" s="2">
        <v>31</v>
      </c>
      <c r="F66" s="2">
        <v>3</v>
      </c>
      <c r="G66" s="2">
        <v>9</v>
      </c>
      <c r="H66" s="2">
        <v>7</v>
      </c>
      <c r="I66" s="2">
        <v>1</v>
      </c>
      <c r="J66" s="2">
        <v>0</v>
      </c>
      <c r="K66" s="2">
        <v>1</v>
      </c>
      <c r="L66" s="2">
        <v>3</v>
      </c>
      <c r="M66" s="2">
        <v>1</v>
      </c>
      <c r="N66" s="2">
        <v>0</v>
      </c>
      <c r="O66" s="2">
        <v>2</v>
      </c>
      <c r="P66" s="2">
        <v>5</v>
      </c>
      <c r="Q66" s="2">
        <v>0</v>
      </c>
      <c r="R66" s="3">
        <v>0</v>
      </c>
    </row>
    <row r="67" spans="1:18" x14ac:dyDescent="0.25">
      <c r="A67" s="8">
        <v>44793</v>
      </c>
      <c r="B67" s="9"/>
      <c r="C67" s="1" t="s">
        <v>34</v>
      </c>
      <c r="D67" s="9" t="s">
        <v>76</v>
      </c>
      <c r="E67" s="2">
        <v>32</v>
      </c>
      <c r="F67" s="2">
        <v>5</v>
      </c>
      <c r="G67" s="2">
        <v>10</v>
      </c>
      <c r="H67" s="2">
        <v>6</v>
      </c>
      <c r="I67" s="2">
        <v>4</v>
      </c>
      <c r="J67" s="2">
        <v>0</v>
      </c>
      <c r="K67" s="2">
        <v>0</v>
      </c>
      <c r="L67" s="2">
        <v>4</v>
      </c>
      <c r="M67" s="2">
        <v>0</v>
      </c>
      <c r="N67" s="2">
        <v>0</v>
      </c>
      <c r="O67" s="2">
        <v>2</v>
      </c>
      <c r="P67" s="2">
        <v>2</v>
      </c>
      <c r="Q67" s="2">
        <v>0</v>
      </c>
      <c r="R67" s="3">
        <v>0</v>
      </c>
    </row>
    <row r="68" spans="1:18" x14ac:dyDescent="0.25">
      <c r="A68" s="8">
        <v>44792</v>
      </c>
      <c r="B68" s="9"/>
      <c r="C68" s="1" t="s">
        <v>34</v>
      </c>
      <c r="D68" s="9" t="s">
        <v>141</v>
      </c>
      <c r="E68" s="2">
        <v>32</v>
      </c>
      <c r="F68" s="2">
        <v>2</v>
      </c>
      <c r="G68" s="2">
        <v>6</v>
      </c>
      <c r="H68" s="2">
        <v>5</v>
      </c>
      <c r="I68" s="2">
        <v>1</v>
      </c>
      <c r="J68" s="2">
        <v>0</v>
      </c>
      <c r="K68" s="2">
        <v>0</v>
      </c>
      <c r="L68" s="2">
        <v>2</v>
      </c>
      <c r="M68" s="2">
        <v>1</v>
      </c>
      <c r="N68" s="2">
        <v>1</v>
      </c>
      <c r="O68" s="2">
        <v>4</v>
      </c>
      <c r="P68" s="2">
        <v>12</v>
      </c>
      <c r="Q68" s="2">
        <v>0</v>
      </c>
      <c r="R68" s="3">
        <v>0</v>
      </c>
    </row>
    <row r="69" spans="1:18" x14ac:dyDescent="0.25">
      <c r="A69" s="8">
        <v>44791</v>
      </c>
      <c r="B69" s="9"/>
      <c r="C69" s="1" t="s">
        <v>34</v>
      </c>
      <c r="D69" s="9" t="s">
        <v>142</v>
      </c>
      <c r="E69" s="2">
        <v>35</v>
      </c>
      <c r="F69" s="2">
        <v>7</v>
      </c>
      <c r="G69" s="2">
        <v>12</v>
      </c>
      <c r="H69" s="2">
        <v>6</v>
      </c>
      <c r="I69" s="2">
        <v>3</v>
      </c>
      <c r="J69" s="2">
        <v>1</v>
      </c>
      <c r="K69" s="2">
        <v>2</v>
      </c>
      <c r="L69" s="2">
        <v>6</v>
      </c>
      <c r="M69" s="2">
        <v>0</v>
      </c>
      <c r="N69" s="2">
        <v>0</v>
      </c>
      <c r="O69" s="2">
        <v>2</v>
      </c>
      <c r="P69" s="2">
        <v>6</v>
      </c>
      <c r="Q69" s="2">
        <v>0</v>
      </c>
      <c r="R69" s="3">
        <v>0</v>
      </c>
    </row>
    <row r="70" spans="1:18" x14ac:dyDescent="0.25">
      <c r="A70" s="8">
        <v>44790</v>
      </c>
      <c r="B70" s="9" t="s">
        <v>68</v>
      </c>
      <c r="C70" s="1" t="s">
        <v>27</v>
      </c>
      <c r="D70" s="9" t="s">
        <v>143</v>
      </c>
      <c r="E70" s="2">
        <v>39</v>
      </c>
      <c r="F70" s="2">
        <v>7</v>
      </c>
      <c r="G70" s="2">
        <v>9</v>
      </c>
      <c r="H70" s="2">
        <v>4</v>
      </c>
      <c r="I70" s="2">
        <v>4</v>
      </c>
      <c r="J70" s="2">
        <v>0</v>
      </c>
      <c r="K70" s="2">
        <v>1</v>
      </c>
      <c r="L70" s="2">
        <v>7</v>
      </c>
      <c r="M70" s="2">
        <v>1</v>
      </c>
      <c r="N70" s="2">
        <v>0</v>
      </c>
      <c r="O70" s="2">
        <v>6</v>
      </c>
      <c r="P70" s="2">
        <v>13</v>
      </c>
      <c r="Q70" s="2">
        <v>1</v>
      </c>
      <c r="R70" s="3">
        <v>0</v>
      </c>
    </row>
    <row r="71" spans="1:18" x14ac:dyDescent="0.25">
      <c r="A71" s="8">
        <v>44789</v>
      </c>
      <c r="B71" s="9" t="s">
        <v>68</v>
      </c>
      <c r="C71" s="1" t="s">
        <v>27</v>
      </c>
      <c r="D71" s="9" t="s">
        <v>84</v>
      </c>
      <c r="E71" s="2">
        <v>31</v>
      </c>
      <c r="F71" s="2">
        <v>3</v>
      </c>
      <c r="G71" s="2">
        <v>4</v>
      </c>
      <c r="H71" s="2">
        <v>3</v>
      </c>
      <c r="I71" s="2">
        <v>0</v>
      </c>
      <c r="J71" s="2">
        <v>0</v>
      </c>
      <c r="K71" s="2">
        <v>1</v>
      </c>
      <c r="L71" s="2">
        <v>3</v>
      </c>
      <c r="M71" s="2">
        <v>1</v>
      </c>
      <c r="N71" s="2">
        <v>1</v>
      </c>
      <c r="O71" s="2">
        <v>0</v>
      </c>
      <c r="P71" s="2">
        <v>4</v>
      </c>
      <c r="Q71" s="2">
        <v>0</v>
      </c>
      <c r="R71" s="3">
        <v>0</v>
      </c>
    </row>
    <row r="72" spans="1:18" x14ac:dyDescent="0.25">
      <c r="A72" s="8">
        <v>44788</v>
      </c>
      <c r="B72" s="9" t="s">
        <v>68</v>
      </c>
      <c r="C72" s="1" t="s">
        <v>27</v>
      </c>
      <c r="D72" s="9" t="s">
        <v>82</v>
      </c>
      <c r="E72" s="2">
        <v>33</v>
      </c>
      <c r="F72" s="2">
        <v>4</v>
      </c>
      <c r="G72" s="2">
        <v>7</v>
      </c>
      <c r="H72" s="2">
        <v>5</v>
      </c>
      <c r="I72" s="2">
        <v>1</v>
      </c>
      <c r="J72" s="2">
        <v>1</v>
      </c>
      <c r="K72" s="2">
        <v>0</v>
      </c>
      <c r="L72" s="2">
        <v>4</v>
      </c>
      <c r="M72" s="2">
        <v>0</v>
      </c>
      <c r="N72" s="2">
        <v>0</v>
      </c>
      <c r="O72" s="2">
        <v>4</v>
      </c>
      <c r="P72" s="2">
        <v>10</v>
      </c>
      <c r="Q72" s="2">
        <v>1</v>
      </c>
      <c r="R72" s="3">
        <v>0</v>
      </c>
    </row>
    <row r="73" spans="1:18" x14ac:dyDescent="0.25">
      <c r="A73" s="8">
        <v>44787</v>
      </c>
      <c r="B73" s="9"/>
      <c r="C73" s="1" t="s">
        <v>43</v>
      </c>
      <c r="D73" s="9" t="s">
        <v>81</v>
      </c>
      <c r="E73" s="2">
        <v>31</v>
      </c>
      <c r="F73" s="2">
        <v>4</v>
      </c>
      <c r="G73" s="2">
        <v>8</v>
      </c>
      <c r="H73" s="2">
        <v>5</v>
      </c>
      <c r="I73" s="2">
        <v>2</v>
      </c>
      <c r="J73" s="2">
        <v>0</v>
      </c>
      <c r="K73" s="2">
        <v>1</v>
      </c>
      <c r="L73" s="2">
        <v>4</v>
      </c>
      <c r="M73" s="2">
        <v>0</v>
      </c>
      <c r="N73" s="2">
        <v>0</v>
      </c>
      <c r="O73" s="2">
        <v>2</v>
      </c>
      <c r="P73" s="2">
        <v>11</v>
      </c>
      <c r="Q73" s="2">
        <v>0</v>
      </c>
      <c r="R73" s="3">
        <v>0</v>
      </c>
    </row>
    <row r="74" spans="1:18" x14ac:dyDescent="0.25">
      <c r="A74" s="8">
        <v>44786</v>
      </c>
      <c r="B74" s="9"/>
      <c r="C74" s="1" t="s">
        <v>43</v>
      </c>
      <c r="D74" s="9" t="s">
        <v>144</v>
      </c>
      <c r="E74" s="2">
        <v>34</v>
      </c>
      <c r="F74" s="2">
        <v>8</v>
      </c>
      <c r="G74" s="2">
        <v>11</v>
      </c>
      <c r="H74" s="2">
        <v>8</v>
      </c>
      <c r="I74" s="2">
        <v>2</v>
      </c>
      <c r="J74" s="2">
        <v>0</v>
      </c>
      <c r="K74" s="2">
        <v>1</v>
      </c>
      <c r="L74" s="2">
        <v>8</v>
      </c>
      <c r="M74" s="2">
        <v>2</v>
      </c>
      <c r="N74" s="2">
        <v>0</v>
      </c>
      <c r="O74" s="2">
        <v>5</v>
      </c>
      <c r="P74" s="2">
        <v>9</v>
      </c>
      <c r="Q74" s="2">
        <v>0</v>
      </c>
      <c r="R74" s="3">
        <v>0</v>
      </c>
    </row>
    <row r="75" spans="1:18" x14ac:dyDescent="0.25">
      <c r="A75" s="8">
        <v>44785</v>
      </c>
      <c r="B75" s="9"/>
      <c r="C75" s="1" t="s">
        <v>43</v>
      </c>
      <c r="D75" s="9" t="s">
        <v>132</v>
      </c>
      <c r="E75" s="2">
        <v>33</v>
      </c>
      <c r="F75" s="2">
        <v>3</v>
      </c>
      <c r="G75" s="2">
        <v>5</v>
      </c>
      <c r="H75" s="2">
        <v>3</v>
      </c>
      <c r="I75" s="2">
        <v>1</v>
      </c>
      <c r="J75" s="2">
        <v>0</v>
      </c>
      <c r="K75" s="2">
        <v>1</v>
      </c>
      <c r="L75" s="2">
        <v>3</v>
      </c>
      <c r="M75" s="2">
        <v>0</v>
      </c>
      <c r="N75" s="2">
        <v>0</v>
      </c>
      <c r="O75" s="2">
        <v>1</v>
      </c>
      <c r="P75" s="2">
        <v>11</v>
      </c>
      <c r="Q75" s="2">
        <v>0</v>
      </c>
      <c r="R75" s="3">
        <v>0</v>
      </c>
    </row>
    <row r="76" spans="1:18" x14ac:dyDescent="0.25">
      <c r="A76" s="8">
        <v>44783</v>
      </c>
      <c r="B76" s="9" t="s">
        <v>68</v>
      </c>
      <c r="C76" s="1" t="s">
        <v>30</v>
      </c>
      <c r="D76" s="9" t="s">
        <v>145</v>
      </c>
      <c r="E76" s="2">
        <v>34</v>
      </c>
      <c r="F76" s="2">
        <v>3</v>
      </c>
      <c r="G76" s="2">
        <v>5</v>
      </c>
      <c r="H76" s="2">
        <v>2</v>
      </c>
      <c r="I76" s="2">
        <v>1</v>
      </c>
      <c r="J76" s="2">
        <v>0</v>
      </c>
      <c r="K76" s="2">
        <v>2</v>
      </c>
      <c r="L76" s="2">
        <v>3</v>
      </c>
      <c r="M76" s="2">
        <v>0</v>
      </c>
      <c r="N76" s="2">
        <v>1</v>
      </c>
      <c r="O76" s="2">
        <v>2</v>
      </c>
      <c r="P76" s="2">
        <v>8</v>
      </c>
      <c r="Q76" s="2">
        <v>0</v>
      </c>
      <c r="R76" s="3">
        <v>0</v>
      </c>
    </row>
    <row r="77" spans="1:18" x14ac:dyDescent="0.25">
      <c r="A77" s="8">
        <v>44782</v>
      </c>
      <c r="B77" s="9" t="s">
        <v>68</v>
      </c>
      <c r="C77" s="1" t="s">
        <v>30</v>
      </c>
      <c r="D77" s="9" t="s">
        <v>91</v>
      </c>
      <c r="E77" s="2">
        <v>29</v>
      </c>
      <c r="F77" s="2">
        <v>3</v>
      </c>
      <c r="G77" s="2">
        <v>4</v>
      </c>
      <c r="H77" s="2">
        <v>2</v>
      </c>
      <c r="I77" s="2">
        <v>1</v>
      </c>
      <c r="J77" s="2">
        <v>0</v>
      </c>
      <c r="K77" s="2">
        <v>1</v>
      </c>
      <c r="L77" s="2">
        <v>3</v>
      </c>
      <c r="M77" s="2">
        <v>0</v>
      </c>
      <c r="N77" s="2">
        <v>0</v>
      </c>
      <c r="O77" s="2">
        <v>1</v>
      </c>
      <c r="P77" s="2">
        <v>7</v>
      </c>
      <c r="Q77" s="2">
        <v>0</v>
      </c>
      <c r="R77" s="3">
        <v>0</v>
      </c>
    </row>
    <row r="78" spans="1:18" x14ac:dyDescent="0.25">
      <c r="A78" s="8">
        <v>44780</v>
      </c>
      <c r="B78" s="9" t="s">
        <v>68</v>
      </c>
      <c r="C78" s="1" t="s">
        <v>36</v>
      </c>
      <c r="D78" s="9" t="s">
        <v>146</v>
      </c>
      <c r="E78" s="2">
        <v>35</v>
      </c>
      <c r="F78" s="2">
        <v>7</v>
      </c>
      <c r="G78" s="2">
        <v>9</v>
      </c>
      <c r="H78" s="2">
        <v>7</v>
      </c>
      <c r="I78" s="2">
        <v>2</v>
      </c>
      <c r="J78" s="2">
        <v>0</v>
      </c>
      <c r="K78" s="2">
        <v>0</v>
      </c>
      <c r="L78" s="2">
        <v>7</v>
      </c>
      <c r="M78" s="2">
        <v>0</v>
      </c>
      <c r="N78" s="2">
        <v>1</v>
      </c>
      <c r="O78" s="2">
        <v>6</v>
      </c>
      <c r="P78" s="2">
        <v>9</v>
      </c>
      <c r="Q78" s="2">
        <v>0</v>
      </c>
      <c r="R78" s="3">
        <v>0</v>
      </c>
    </row>
    <row r="79" spans="1:18" x14ac:dyDescent="0.25">
      <c r="A79" s="8">
        <v>44779</v>
      </c>
      <c r="B79" s="9" t="s">
        <v>68</v>
      </c>
      <c r="C79" s="1" t="s">
        <v>36</v>
      </c>
      <c r="D79" s="9" t="s">
        <v>147</v>
      </c>
      <c r="E79" s="2">
        <v>36</v>
      </c>
      <c r="F79" s="2">
        <v>1</v>
      </c>
      <c r="G79" s="2">
        <v>9</v>
      </c>
      <c r="H79" s="2">
        <v>6</v>
      </c>
      <c r="I79" s="2">
        <v>2</v>
      </c>
      <c r="J79" s="2">
        <v>0</v>
      </c>
      <c r="K79" s="2">
        <v>1</v>
      </c>
      <c r="L79" s="2">
        <v>1</v>
      </c>
      <c r="M79" s="2">
        <v>0</v>
      </c>
      <c r="N79" s="2">
        <v>0</v>
      </c>
      <c r="O79" s="2">
        <v>3</v>
      </c>
      <c r="P79" s="2">
        <v>12</v>
      </c>
      <c r="Q79" s="2">
        <v>0</v>
      </c>
      <c r="R79" s="3">
        <v>0</v>
      </c>
    </row>
    <row r="80" spans="1:18" x14ac:dyDescent="0.25">
      <c r="A80" s="8">
        <v>44778</v>
      </c>
      <c r="B80" s="9" t="s">
        <v>68</v>
      </c>
      <c r="C80" s="1" t="s">
        <v>36</v>
      </c>
      <c r="D80" s="9" t="s">
        <v>75</v>
      </c>
      <c r="E80" s="2">
        <v>32</v>
      </c>
      <c r="F80" s="2">
        <v>5</v>
      </c>
      <c r="G80" s="2">
        <v>7</v>
      </c>
      <c r="H80" s="2">
        <v>5</v>
      </c>
      <c r="I80" s="2">
        <v>2</v>
      </c>
      <c r="J80" s="2">
        <v>0</v>
      </c>
      <c r="K80" s="2">
        <v>0</v>
      </c>
      <c r="L80" s="2">
        <v>5</v>
      </c>
      <c r="M80" s="2">
        <v>0</v>
      </c>
      <c r="N80" s="2">
        <v>1</v>
      </c>
      <c r="O80" s="2">
        <v>13</v>
      </c>
      <c r="P80" s="2">
        <v>9</v>
      </c>
      <c r="Q80" s="2">
        <v>0</v>
      </c>
      <c r="R80" s="3">
        <v>0</v>
      </c>
    </row>
    <row r="81" spans="1:18" x14ac:dyDescent="0.25">
      <c r="A81" s="8">
        <v>44777</v>
      </c>
      <c r="B81" s="9" t="s">
        <v>68</v>
      </c>
      <c r="C81" s="1" t="s">
        <v>36</v>
      </c>
      <c r="D81" s="9" t="s">
        <v>119</v>
      </c>
      <c r="E81" s="2">
        <v>37</v>
      </c>
      <c r="F81" s="2">
        <v>6</v>
      </c>
      <c r="G81" s="2">
        <v>12</v>
      </c>
      <c r="H81" s="2">
        <v>8</v>
      </c>
      <c r="I81" s="2">
        <v>3</v>
      </c>
      <c r="J81" s="2">
        <v>0</v>
      </c>
      <c r="K81" s="2">
        <v>1</v>
      </c>
      <c r="L81" s="2">
        <v>5</v>
      </c>
      <c r="M81" s="2">
        <v>1</v>
      </c>
      <c r="N81" s="2">
        <v>0</v>
      </c>
      <c r="O81" s="2">
        <v>5</v>
      </c>
      <c r="P81" s="2">
        <v>6</v>
      </c>
      <c r="Q81" s="2">
        <v>0</v>
      </c>
      <c r="R81" s="3">
        <v>0</v>
      </c>
    </row>
    <row r="82" spans="1:18" x14ac:dyDescent="0.25">
      <c r="A82" s="8">
        <v>44776</v>
      </c>
      <c r="B82" s="9"/>
      <c r="C82" s="1" t="s">
        <v>18</v>
      </c>
      <c r="D82" s="9" t="s">
        <v>83</v>
      </c>
      <c r="E82" s="2">
        <v>29</v>
      </c>
      <c r="F82" s="2">
        <v>3</v>
      </c>
      <c r="G82" s="2">
        <v>6</v>
      </c>
      <c r="H82" s="2">
        <v>6</v>
      </c>
      <c r="I82" s="2">
        <v>0</v>
      </c>
      <c r="J82" s="2">
        <v>0</v>
      </c>
      <c r="K82" s="2">
        <v>0</v>
      </c>
      <c r="L82" s="2">
        <v>3</v>
      </c>
      <c r="M82" s="2">
        <v>1</v>
      </c>
      <c r="N82" s="2">
        <v>0</v>
      </c>
      <c r="O82" s="2">
        <v>3</v>
      </c>
      <c r="P82" s="2">
        <v>10</v>
      </c>
      <c r="Q82" s="2">
        <v>1</v>
      </c>
      <c r="R82" s="3">
        <v>0</v>
      </c>
    </row>
    <row r="83" spans="1:18" x14ac:dyDescent="0.25">
      <c r="A83" s="8">
        <v>44775</v>
      </c>
      <c r="B83" s="9"/>
      <c r="C83" s="1" t="s">
        <v>18</v>
      </c>
      <c r="D83" s="9" t="s">
        <v>101</v>
      </c>
      <c r="E83" s="2">
        <v>28</v>
      </c>
      <c r="F83" s="2">
        <v>1</v>
      </c>
      <c r="G83" s="2">
        <v>2</v>
      </c>
      <c r="H83" s="2">
        <v>1</v>
      </c>
      <c r="I83" s="2">
        <v>0</v>
      </c>
      <c r="J83" s="2">
        <v>0</v>
      </c>
      <c r="K83" s="2">
        <v>1</v>
      </c>
      <c r="L83" s="2">
        <v>1</v>
      </c>
      <c r="M83" s="2">
        <v>0</v>
      </c>
      <c r="N83" s="2">
        <v>0</v>
      </c>
      <c r="O83" s="2">
        <v>1</v>
      </c>
      <c r="P83" s="2">
        <v>11</v>
      </c>
      <c r="Q83" s="2">
        <v>1</v>
      </c>
      <c r="R83" s="3">
        <v>0</v>
      </c>
    </row>
    <row r="84" spans="1:18" x14ac:dyDescent="0.25">
      <c r="A84" s="8">
        <v>44773</v>
      </c>
      <c r="B84" s="9"/>
      <c r="C84" s="1" t="s">
        <v>38</v>
      </c>
      <c r="D84" s="9" t="s">
        <v>91</v>
      </c>
      <c r="E84" s="2">
        <v>32</v>
      </c>
      <c r="F84" s="2">
        <v>3</v>
      </c>
      <c r="G84" s="2">
        <v>8</v>
      </c>
      <c r="H84" s="2">
        <v>3</v>
      </c>
      <c r="I84" s="2">
        <v>5</v>
      </c>
      <c r="J84" s="2">
        <v>0</v>
      </c>
      <c r="K84" s="2">
        <v>0</v>
      </c>
      <c r="L84" s="2">
        <v>2</v>
      </c>
      <c r="M84" s="2">
        <v>0</v>
      </c>
      <c r="N84" s="2">
        <v>1</v>
      </c>
      <c r="O84" s="2">
        <v>5</v>
      </c>
      <c r="P84" s="2">
        <v>6</v>
      </c>
      <c r="Q84" s="2">
        <v>0</v>
      </c>
      <c r="R84" s="3">
        <v>0</v>
      </c>
    </row>
    <row r="85" spans="1:18" x14ac:dyDescent="0.25">
      <c r="A85" s="8">
        <v>44772</v>
      </c>
      <c r="B85" s="9"/>
      <c r="C85" s="1" t="s">
        <v>38</v>
      </c>
      <c r="D85" s="9" t="s">
        <v>72</v>
      </c>
      <c r="E85" s="2">
        <v>33</v>
      </c>
      <c r="F85" s="2">
        <v>6</v>
      </c>
      <c r="G85" s="2">
        <v>10</v>
      </c>
      <c r="H85" s="2">
        <v>7</v>
      </c>
      <c r="I85" s="2">
        <v>1</v>
      </c>
      <c r="J85" s="2">
        <v>0</v>
      </c>
      <c r="K85" s="2">
        <v>2</v>
      </c>
      <c r="L85" s="2">
        <v>6</v>
      </c>
      <c r="M85" s="2">
        <v>1</v>
      </c>
      <c r="N85" s="2">
        <v>0</v>
      </c>
      <c r="O85" s="2">
        <v>3</v>
      </c>
      <c r="P85" s="2">
        <v>12</v>
      </c>
      <c r="Q85" s="2">
        <v>0</v>
      </c>
      <c r="R85" s="3">
        <v>0</v>
      </c>
    </row>
    <row r="86" spans="1:18" x14ac:dyDescent="0.25">
      <c r="A86" s="8">
        <v>44771</v>
      </c>
      <c r="B86" s="9"/>
      <c r="C86" s="1" t="s">
        <v>38</v>
      </c>
      <c r="D86" s="9" t="s">
        <v>100</v>
      </c>
      <c r="E86" s="2">
        <v>32</v>
      </c>
      <c r="F86" s="2">
        <v>1</v>
      </c>
      <c r="G86" s="2">
        <v>6</v>
      </c>
      <c r="H86" s="2">
        <v>6</v>
      </c>
      <c r="I86" s="2">
        <v>0</v>
      </c>
      <c r="J86" s="2">
        <v>0</v>
      </c>
      <c r="K86" s="2">
        <v>0</v>
      </c>
      <c r="L86" s="2">
        <v>1</v>
      </c>
      <c r="M86" s="2">
        <v>0</v>
      </c>
      <c r="N86" s="2">
        <v>0</v>
      </c>
      <c r="O86" s="2">
        <v>2</v>
      </c>
      <c r="P86" s="2">
        <v>11</v>
      </c>
      <c r="Q86" s="2">
        <v>0</v>
      </c>
      <c r="R86" s="3">
        <v>0</v>
      </c>
    </row>
    <row r="87" spans="1:18" x14ac:dyDescent="0.25">
      <c r="A87" s="8">
        <v>44770</v>
      </c>
      <c r="B87" s="9" t="s">
        <v>68</v>
      </c>
      <c r="C87" s="1" t="s">
        <v>43</v>
      </c>
      <c r="D87" s="9" t="s">
        <v>103</v>
      </c>
      <c r="E87" s="2">
        <v>31</v>
      </c>
      <c r="F87" s="2">
        <v>0</v>
      </c>
      <c r="G87" s="2">
        <v>4</v>
      </c>
      <c r="H87" s="2">
        <v>4</v>
      </c>
      <c r="I87" s="2">
        <v>0</v>
      </c>
      <c r="J87" s="2">
        <v>0</v>
      </c>
      <c r="K87" s="2">
        <v>0</v>
      </c>
      <c r="L87" s="2">
        <v>0</v>
      </c>
      <c r="M87" s="2">
        <v>0</v>
      </c>
      <c r="N87" s="2">
        <v>0</v>
      </c>
      <c r="O87" s="2">
        <v>5</v>
      </c>
      <c r="P87" s="2">
        <v>9</v>
      </c>
      <c r="Q87" s="2">
        <v>1</v>
      </c>
      <c r="R87" s="3">
        <v>0</v>
      </c>
    </row>
    <row r="88" spans="1:18" x14ac:dyDescent="0.25">
      <c r="A88" s="8">
        <v>44769</v>
      </c>
      <c r="B88" s="9" t="s">
        <v>68</v>
      </c>
      <c r="C88" s="1" t="s">
        <v>43</v>
      </c>
      <c r="D88" s="9" t="s">
        <v>148</v>
      </c>
      <c r="E88" s="2">
        <v>39</v>
      </c>
      <c r="F88" s="2">
        <v>6</v>
      </c>
      <c r="G88" s="2">
        <v>11</v>
      </c>
      <c r="H88" s="2">
        <v>6</v>
      </c>
      <c r="I88" s="2">
        <v>3</v>
      </c>
      <c r="J88" s="2">
        <v>0</v>
      </c>
      <c r="K88" s="2">
        <v>2</v>
      </c>
      <c r="L88" s="2">
        <v>6</v>
      </c>
      <c r="M88" s="2">
        <v>0</v>
      </c>
      <c r="N88" s="2">
        <v>0</v>
      </c>
      <c r="O88" s="2">
        <v>3</v>
      </c>
      <c r="P88" s="2">
        <v>13</v>
      </c>
      <c r="Q88" s="2">
        <v>0</v>
      </c>
      <c r="R88" s="3">
        <v>1</v>
      </c>
    </row>
    <row r="89" spans="1:18" x14ac:dyDescent="0.25">
      <c r="A89" s="8">
        <v>44768</v>
      </c>
      <c r="B89" s="9" t="s">
        <v>68</v>
      </c>
      <c r="C89" s="1" t="s">
        <v>43</v>
      </c>
      <c r="D89" s="9" t="s">
        <v>91</v>
      </c>
      <c r="E89" s="2">
        <v>38</v>
      </c>
      <c r="F89" s="2">
        <v>3</v>
      </c>
      <c r="G89" s="2">
        <v>12</v>
      </c>
      <c r="H89" s="2">
        <v>10</v>
      </c>
      <c r="I89" s="2">
        <v>1</v>
      </c>
      <c r="J89" s="2">
        <v>0</v>
      </c>
      <c r="K89" s="2">
        <v>1</v>
      </c>
      <c r="L89" s="2">
        <v>3</v>
      </c>
      <c r="M89" s="2">
        <v>0</v>
      </c>
      <c r="N89" s="2">
        <v>0</v>
      </c>
      <c r="O89" s="2">
        <v>1</v>
      </c>
      <c r="P89" s="2">
        <v>7</v>
      </c>
      <c r="Q89" s="2">
        <v>0</v>
      </c>
      <c r="R89" s="3">
        <v>0</v>
      </c>
    </row>
    <row r="90" spans="1:18" x14ac:dyDescent="0.25">
      <c r="A90" s="8">
        <v>44767</v>
      </c>
      <c r="B90" s="9" t="s">
        <v>68</v>
      </c>
      <c r="C90" s="1" t="s">
        <v>43</v>
      </c>
      <c r="D90" s="9" t="s">
        <v>99</v>
      </c>
      <c r="E90" s="2">
        <v>35</v>
      </c>
      <c r="F90" s="2">
        <v>1</v>
      </c>
      <c r="G90" s="2">
        <v>8</v>
      </c>
      <c r="H90" s="2">
        <v>5</v>
      </c>
      <c r="I90" s="2">
        <v>2</v>
      </c>
      <c r="J90" s="2">
        <v>0</v>
      </c>
      <c r="K90" s="2">
        <v>1</v>
      </c>
      <c r="L90" s="2">
        <v>1</v>
      </c>
      <c r="M90" s="2">
        <v>1</v>
      </c>
      <c r="N90" s="2">
        <v>0</v>
      </c>
      <c r="O90" s="2">
        <v>3</v>
      </c>
      <c r="P90" s="2">
        <v>10</v>
      </c>
      <c r="Q90" s="2">
        <v>0</v>
      </c>
      <c r="R90" s="3">
        <v>0</v>
      </c>
    </row>
    <row r="91" spans="1:18" x14ac:dyDescent="0.25">
      <c r="A91" s="8">
        <v>44766</v>
      </c>
      <c r="B91" s="9" t="s">
        <v>68</v>
      </c>
      <c r="C91" s="1" t="s">
        <v>34</v>
      </c>
      <c r="D91" s="9" t="s">
        <v>95</v>
      </c>
      <c r="E91" s="2">
        <v>29</v>
      </c>
      <c r="F91" s="2">
        <v>2</v>
      </c>
      <c r="G91" s="2">
        <v>5</v>
      </c>
      <c r="H91" s="2">
        <v>2</v>
      </c>
      <c r="I91" s="2">
        <v>2</v>
      </c>
      <c r="J91" s="2">
        <v>0</v>
      </c>
      <c r="K91" s="2">
        <v>1</v>
      </c>
      <c r="L91" s="2">
        <v>2</v>
      </c>
      <c r="M91" s="2">
        <v>0</v>
      </c>
      <c r="N91" s="2">
        <v>0</v>
      </c>
      <c r="O91" s="2">
        <v>3</v>
      </c>
      <c r="P91" s="2">
        <v>6</v>
      </c>
      <c r="Q91" s="2">
        <v>0</v>
      </c>
      <c r="R91" s="3">
        <v>0</v>
      </c>
    </row>
    <row r="92" spans="1:18" x14ac:dyDescent="0.25">
      <c r="A92" s="8">
        <v>44765</v>
      </c>
      <c r="B92" s="9" t="s">
        <v>68</v>
      </c>
      <c r="C92" s="1" t="s">
        <v>34</v>
      </c>
      <c r="D92" s="9" t="s">
        <v>111</v>
      </c>
      <c r="E92" s="2">
        <v>33</v>
      </c>
      <c r="F92" s="2">
        <v>3</v>
      </c>
      <c r="G92" s="2">
        <v>8</v>
      </c>
      <c r="H92" s="2">
        <v>7</v>
      </c>
      <c r="I92" s="2">
        <v>0</v>
      </c>
      <c r="J92" s="2">
        <v>1</v>
      </c>
      <c r="K92" s="2">
        <v>0</v>
      </c>
      <c r="L92" s="2">
        <v>3</v>
      </c>
      <c r="M92" s="2">
        <v>0</v>
      </c>
      <c r="N92" s="2">
        <v>0</v>
      </c>
      <c r="O92" s="2">
        <v>2</v>
      </c>
      <c r="P92" s="2">
        <v>13</v>
      </c>
      <c r="Q92" s="2">
        <v>0</v>
      </c>
      <c r="R92" s="3">
        <v>0</v>
      </c>
    </row>
    <row r="93" spans="1:18" x14ac:dyDescent="0.25">
      <c r="A93" s="8">
        <v>44764</v>
      </c>
      <c r="B93" s="9" t="s">
        <v>68</v>
      </c>
      <c r="C93" s="1" t="s">
        <v>34</v>
      </c>
      <c r="D93" s="9" t="s">
        <v>70</v>
      </c>
      <c r="E93" s="2">
        <v>34</v>
      </c>
      <c r="F93" s="2">
        <v>7</v>
      </c>
      <c r="G93" s="2">
        <v>8</v>
      </c>
      <c r="H93" s="2">
        <v>6</v>
      </c>
      <c r="I93" s="2">
        <v>2</v>
      </c>
      <c r="J93" s="2">
        <v>0</v>
      </c>
      <c r="K93" s="2">
        <v>0</v>
      </c>
      <c r="L93" s="2">
        <v>7</v>
      </c>
      <c r="M93" s="2">
        <v>0</v>
      </c>
      <c r="N93" s="2">
        <v>0</v>
      </c>
      <c r="O93" s="2">
        <v>8</v>
      </c>
      <c r="P93" s="2">
        <v>7</v>
      </c>
      <c r="Q93" s="2">
        <v>1</v>
      </c>
      <c r="R93" s="3">
        <v>0</v>
      </c>
    </row>
    <row r="94" spans="1:18" x14ac:dyDescent="0.25">
      <c r="A94" s="8">
        <v>44759</v>
      </c>
      <c r="B94" s="9"/>
      <c r="C94" s="1" t="s">
        <v>43</v>
      </c>
      <c r="D94" s="9" t="s">
        <v>69</v>
      </c>
      <c r="E94" s="2">
        <v>33</v>
      </c>
      <c r="F94" s="2">
        <v>7</v>
      </c>
      <c r="G94" s="2">
        <v>10</v>
      </c>
      <c r="H94" s="2">
        <v>3</v>
      </c>
      <c r="I94" s="2">
        <v>4</v>
      </c>
      <c r="J94" s="2">
        <v>0</v>
      </c>
      <c r="K94" s="2">
        <v>3</v>
      </c>
      <c r="L94" s="2">
        <v>7</v>
      </c>
      <c r="M94" s="2">
        <v>0</v>
      </c>
      <c r="N94" s="2">
        <v>0</v>
      </c>
      <c r="O94" s="2">
        <v>2</v>
      </c>
      <c r="P94" s="2">
        <v>14</v>
      </c>
      <c r="Q94" s="2">
        <v>1</v>
      </c>
      <c r="R94" s="3">
        <v>0</v>
      </c>
    </row>
    <row r="95" spans="1:18" x14ac:dyDescent="0.25">
      <c r="A95" s="8">
        <v>44758</v>
      </c>
      <c r="B95" s="9"/>
      <c r="C95" s="1" t="s">
        <v>43</v>
      </c>
      <c r="D95" s="9" t="s">
        <v>149</v>
      </c>
      <c r="E95" s="2">
        <v>38</v>
      </c>
      <c r="F95" s="2">
        <v>4</v>
      </c>
      <c r="G95" s="2">
        <v>10</v>
      </c>
      <c r="H95" s="2">
        <v>7</v>
      </c>
      <c r="I95" s="2">
        <v>2</v>
      </c>
      <c r="J95" s="2">
        <v>0</v>
      </c>
      <c r="K95" s="2">
        <v>1</v>
      </c>
      <c r="L95" s="2">
        <v>2</v>
      </c>
      <c r="M95" s="2">
        <v>1</v>
      </c>
      <c r="N95" s="2">
        <v>1</v>
      </c>
      <c r="O95" s="2">
        <v>4</v>
      </c>
      <c r="P95" s="2">
        <v>8</v>
      </c>
      <c r="Q95" s="2">
        <v>2</v>
      </c>
      <c r="R95" s="3">
        <v>0</v>
      </c>
    </row>
    <row r="96" spans="1:18" x14ac:dyDescent="0.25">
      <c r="A96" s="8">
        <v>44757</v>
      </c>
      <c r="B96" s="9"/>
      <c r="C96" s="1" t="s">
        <v>43</v>
      </c>
      <c r="D96" s="9" t="s">
        <v>150</v>
      </c>
      <c r="E96" s="2">
        <v>32</v>
      </c>
      <c r="F96" s="2">
        <v>5</v>
      </c>
      <c r="G96" s="2">
        <v>8</v>
      </c>
      <c r="H96" s="2">
        <v>2</v>
      </c>
      <c r="I96" s="2">
        <v>5</v>
      </c>
      <c r="J96" s="2">
        <v>0</v>
      </c>
      <c r="K96" s="2">
        <v>1</v>
      </c>
      <c r="L96" s="2">
        <v>5</v>
      </c>
      <c r="M96" s="2">
        <v>0</v>
      </c>
      <c r="N96" s="2">
        <v>0</v>
      </c>
      <c r="O96" s="2">
        <v>2</v>
      </c>
      <c r="P96" s="2">
        <v>8</v>
      </c>
      <c r="Q96" s="2">
        <v>0</v>
      </c>
      <c r="R96" s="3">
        <v>0</v>
      </c>
    </row>
    <row r="97" spans="1:18" x14ac:dyDescent="0.25">
      <c r="A97" s="8">
        <v>44756</v>
      </c>
      <c r="B97" s="9"/>
      <c r="C97" s="1" t="s">
        <v>42</v>
      </c>
      <c r="D97" s="9" t="s">
        <v>150</v>
      </c>
      <c r="E97" s="2">
        <v>31</v>
      </c>
      <c r="F97" s="2">
        <v>5</v>
      </c>
      <c r="G97" s="2">
        <v>9</v>
      </c>
      <c r="H97" s="2">
        <v>4</v>
      </c>
      <c r="I97" s="2">
        <v>5</v>
      </c>
      <c r="J97" s="2">
        <v>0</v>
      </c>
      <c r="K97" s="2">
        <v>0</v>
      </c>
      <c r="L97" s="2">
        <v>5</v>
      </c>
      <c r="M97" s="2">
        <v>0</v>
      </c>
      <c r="N97" s="2">
        <v>0</v>
      </c>
      <c r="O97" s="2">
        <v>0</v>
      </c>
      <c r="P97" s="2">
        <v>9</v>
      </c>
      <c r="Q97" s="2">
        <v>1</v>
      </c>
      <c r="R97" s="3">
        <v>0</v>
      </c>
    </row>
    <row r="98" spans="1:18" x14ac:dyDescent="0.25">
      <c r="A98" s="8">
        <v>44755</v>
      </c>
      <c r="B98" s="9"/>
      <c r="C98" s="1" t="s">
        <v>42</v>
      </c>
      <c r="D98" s="9" t="s">
        <v>81</v>
      </c>
      <c r="E98" s="2">
        <v>29</v>
      </c>
      <c r="F98" s="2">
        <v>4</v>
      </c>
      <c r="G98" s="2">
        <v>5</v>
      </c>
      <c r="H98" s="2">
        <v>4</v>
      </c>
      <c r="I98" s="2">
        <v>0</v>
      </c>
      <c r="J98" s="2">
        <v>0</v>
      </c>
      <c r="K98" s="2">
        <v>1</v>
      </c>
      <c r="L98" s="2">
        <v>4</v>
      </c>
      <c r="M98" s="2">
        <v>0</v>
      </c>
      <c r="N98" s="2">
        <v>0</v>
      </c>
      <c r="O98" s="2">
        <v>5</v>
      </c>
      <c r="P98" s="2">
        <v>6</v>
      </c>
      <c r="Q98" s="2">
        <v>0</v>
      </c>
      <c r="R98" s="3">
        <v>0</v>
      </c>
    </row>
    <row r="99" spans="1:18" x14ac:dyDescent="0.25">
      <c r="A99" s="8">
        <v>44754</v>
      </c>
      <c r="B99" s="9"/>
      <c r="C99" s="1" t="s">
        <v>42</v>
      </c>
      <c r="D99" s="9" t="s">
        <v>83</v>
      </c>
      <c r="E99" s="2">
        <v>30</v>
      </c>
      <c r="F99" s="2">
        <v>3</v>
      </c>
      <c r="G99" s="2">
        <v>6</v>
      </c>
      <c r="H99" s="2">
        <v>5</v>
      </c>
      <c r="I99" s="2">
        <v>1</v>
      </c>
      <c r="J99" s="2">
        <v>0</v>
      </c>
      <c r="K99" s="2">
        <v>0</v>
      </c>
      <c r="L99" s="2">
        <v>1</v>
      </c>
      <c r="M99" s="2">
        <v>0</v>
      </c>
      <c r="N99" s="2">
        <v>0</v>
      </c>
      <c r="O99" s="2">
        <v>3</v>
      </c>
      <c r="P99" s="2">
        <v>9</v>
      </c>
      <c r="Q99" s="2">
        <v>0</v>
      </c>
      <c r="R99" s="3">
        <v>0</v>
      </c>
    </row>
    <row r="100" spans="1:18" x14ac:dyDescent="0.25">
      <c r="A100" s="8">
        <v>44753</v>
      </c>
      <c r="B100" s="9"/>
      <c r="C100" s="1" t="s">
        <v>42</v>
      </c>
      <c r="D100" s="9" t="s">
        <v>127</v>
      </c>
      <c r="E100" s="2">
        <v>35</v>
      </c>
      <c r="F100" s="2">
        <v>10</v>
      </c>
      <c r="G100" s="2">
        <v>14</v>
      </c>
      <c r="H100" s="2">
        <v>11</v>
      </c>
      <c r="I100" s="2">
        <v>3</v>
      </c>
      <c r="J100" s="2">
        <v>0</v>
      </c>
      <c r="K100" s="2">
        <v>0</v>
      </c>
      <c r="L100" s="2">
        <v>10</v>
      </c>
      <c r="M100" s="2">
        <v>0</v>
      </c>
      <c r="N100" s="2">
        <v>1</v>
      </c>
      <c r="O100" s="2">
        <v>3</v>
      </c>
      <c r="P100" s="2">
        <v>7</v>
      </c>
      <c r="Q100" s="2">
        <v>2</v>
      </c>
      <c r="R100" s="3">
        <v>0</v>
      </c>
    </row>
    <row r="101" spans="1:18" x14ac:dyDescent="0.25">
      <c r="A101" s="8">
        <v>44752</v>
      </c>
      <c r="B101" s="9" t="s">
        <v>68</v>
      </c>
      <c r="C101" s="1" t="s">
        <v>39</v>
      </c>
      <c r="D101" s="9" t="s">
        <v>88</v>
      </c>
      <c r="E101" s="2">
        <v>38</v>
      </c>
      <c r="F101" s="2">
        <v>5</v>
      </c>
      <c r="G101" s="2">
        <v>12</v>
      </c>
      <c r="H101" s="2">
        <v>7</v>
      </c>
      <c r="I101" s="2">
        <v>2</v>
      </c>
      <c r="J101" s="2">
        <v>0</v>
      </c>
      <c r="K101" s="2">
        <v>3</v>
      </c>
      <c r="L101" s="2">
        <v>5</v>
      </c>
      <c r="M101" s="2">
        <v>0</v>
      </c>
      <c r="N101" s="2">
        <v>0</v>
      </c>
      <c r="O101" s="2">
        <v>1</v>
      </c>
      <c r="P101" s="2">
        <v>14</v>
      </c>
      <c r="Q101" s="2">
        <v>2</v>
      </c>
      <c r="R101" s="3">
        <v>0</v>
      </c>
    </row>
    <row r="102" spans="1:18" x14ac:dyDescent="0.25">
      <c r="A102" s="8">
        <v>44751</v>
      </c>
      <c r="B102" s="9" t="s">
        <v>68</v>
      </c>
      <c r="C102" s="1" t="s">
        <v>39</v>
      </c>
      <c r="D102" s="9" t="s">
        <v>151</v>
      </c>
      <c r="E102" s="2">
        <v>35</v>
      </c>
      <c r="F102" s="2">
        <v>4</v>
      </c>
      <c r="G102" s="2">
        <v>8</v>
      </c>
      <c r="H102" s="2">
        <v>5</v>
      </c>
      <c r="I102" s="2">
        <v>3</v>
      </c>
      <c r="J102" s="2">
        <v>0</v>
      </c>
      <c r="K102" s="2">
        <v>0</v>
      </c>
      <c r="L102" s="2">
        <v>4</v>
      </c>
      <c r="M102" s="2">
        <v>1</v>
      </c>
      <c r="N102" s="2">
        <v>0</v>
      </c>
      <c r="O102" s="2">
        <v>7</v>
      </c>
      <c r="P102" s="2">
        <v>10</v>
      </c>
      <c r="Q102" s="2">
        <v>0</v>
      </c>
      <c r="R102" s="3">
        <v>0</v>
      </c>
    </row>
    <row r="103" spans="1:18" x14ac:dyDescent="0.25">
      <c r="A103" s="8">
        <v>44750</v>
      </c>
      <c r="B103" s="9" t="s">
        <v>68</v>
      </c>
      <c r="C103" s="1" t="s">
        <v>39</v>
      </c>
      <c r="D103" s="9" t="s">
        <v>125</v>
      </c>
      <c r="E103" s="2">
        <v>34</v>
      </c>
      <c r="F103" s="2">
        <v>1</v>
      </c>
      <c r="G103" s="2">
        <v>5</v>
      </c>
      <c r="H103" s="2">
        <v>4</v>
      </c>
      <c r="I103" s="2">
        <v>1</v>
      </c>
      <c r="J103" s="2">
        <v>0</v>
      </c>
      <c r="K103" s="2">
        <v>0</v>
      </c>
      <c r="L103" s="2">
        <v>1</v>
      </c>
      <c r="M103" s="2">
        <v>1</v>
      </c>
      <c r="N103" s="2">
        <v>0</v>
      </c>
      <c r="O103" s="2">
        <v>4</v>
      </c>
      <c r="P103" s="2">
        <v>11</v>
      </c>
      <c r="Q103" s="2">
        <v>0</v>
      </c>
      <c r="R103" s="3">
        <v>0</v>
      </c>
    </row>
    <row r="104" spans="1:18" x14ac:dyDescent="0.25">
      <c r="A104" s="8">
        <v>44748</v>
      </c>
      <c r="B104" s="9" t="s">
        <v>68</v>
      </c>
      <c r="C104" s="1" t="s">
        <v>42</v>
      </c>
      <c r="D104" s="9" t="s">
        <v>142</v>
      </c>
      <c r="E104" s="2">
        <v>36</v>
      </c>
      <c r="F104" s="2">
        <v>7</v>
      </c>
      <c r="G104" s="2">
        <v>10</v>
      </c>
      <c r="H104" s="2">
        <v>4</v>
      </c>
      <c r="I104" s="2">
        <v>5</v>
      </c>
      <c r="J104" s="2">
        <v>0</v>
      </c>
      <c r="K104" s="2">
        <v>1</v>
      </c>
      <c r="L104" s="2">
        <v>7</v>
      </c>
      <c r="M104" s="2">
        <v>0</v>
      </c>
      <c r="N104" s="2">
        <v>1</v>
      </c>
      <c r="O104" s="2">
        <v>9</v>
      </c>
      <c r="P104" s="2">
        <v>7</v>
      </c>
      <c r="Q104" s="2">
        <v>0</v>
      </c>
      <c r="R104" s="3">
        <v>0</v>
      </c>
    </row>
    <row r="105" spans="1:18" x14ac:dyDescent="0.25">
      <c r="A105" s="8">
        <v>44747</v>
      </c>
      <c r="B105" s="9" t="s">
        <v>68</v>
      </c>
      <c r="C105" s="1" t="s">
        <v>42</v>
      </c>
      <c r="D105" s="9" t="s">
        <v>133</v>
      </c>
      <c r="E105" s="2">
        <v>34</v>
      </c>
      <c r="F105" s="2">
        <v>8</v>
      </c>
      <c r="G105" s="2">
        <v>11</v>
      </c>
      <c r="H105" s="2">
        <v>7</v>
      </c>
      <c r="I105" s="2">
        <v>4</v>
      </c>
      <c r="J105" s="2">
        <v>0</v>
      </c>
      <c r="K105" s="2">
        <v>0</v>
      </c>
      <c r="L105" s="2">
        <v>8</v>
      </c>
      <c r="M105" s="2">
        <v>1</v>
      </c>
      <c r="N105" s="2">
        <v>1</v>
      </c>
      <c r="O105" s="2">
        <v>6</v>
      </c>
      <c r="P105" s="2">
        <v>8</v>
      </c>
      <c r="Q105" s="2">
        <v>1</v>
      </c>
      <c r="R105" s="3">
        <v>0</v>
      </c>
    </row>
    <row r="106" spans="1:18" x14ac:dyDescent="0.25">
      <c r="A106" s="8">
        <v>44746</v>
      </c>
      <c r="B106" s="9" t="s">
        <v>68</v>
      </c>
      <c r="C106" s="1" t="s">
        <v>42</v>
      </c>
      <c r="D106" s="9" t="s">
        <v>129</v>
      </c>
      <c r="E106" s="2">
        <v>30</v>
      </c>
      <c r="F106" s="2">
        <v>0</v>
      </c>
      <c r="G106" s="2">
        <v>2</v>
      </c>
      <c r="H106" s="2">
        <v>2</v>
      </c>
      <c r="I106" s="2">
        <v>0</v>
      </c>
      <c r="J106" s="2">
        <v>0</v>
      </c>
      <c r="K106" s="2">
        <v>0</v>
      </c>
      <c r="L106" s="2">
        <v>0</v>
      </c>
      <c r="M106" s="2">
        <v>0</v>
      </c>
      <c r="N106" s="2">
        <v>0</v>
      </c>
      <c r="O106" s="2">
        <v>2</v>
      </c>
      <c r="P106" s="2">
        <v>11</v>
      </c>
      <c r="Q106" s="2">
        <v>0</v>
      </c>
      <c r="R106" s="3">
        <v>0</v>
      </c>
    </row>
    <row r="107" spans="1:18" x14ac:dyDescent="0.25">
      <c r="A107" s="8">
        <v>44745</v>
      </c>
      <c r="B107" s="9" t="s">
        <v>68</v>
      </c>
      <c r="C107" s="1" t="s">
        <v>18</v>
      </c>
      <c r="D107" s="9" t="s">
        <v>70</v>
      </c>
      <c r="E107" s="2">
        <v>39</v>
      </c>
      <c r="F107" s="2">
        <v>7</v>
      </c>
      <c r="G107" s="2">
        <v>14</v>
      </c>
      <c r="H107" s="2">
        <v>9</v>
      </c>
      <c r="I107" s="2">
        <v>2</v>
      </c>
      <c r="J107" s="2">
        <v>0</v>
      </c>
      <c r="K107" s="2">
        <v>3</v>
      </c>
      <c r="L107" s="2">
        <v>6</v>
      </c>
      <c r="M107" s="2">
        <v>0</v>
      </c>
      <c r="N107" s="2">
        <v>1</v>
      </c>
      <c r="O107" s="2">
        <v>4</v>
      </c>
      <c r="P107" s="2">
        <v>7</v>
      </c>
      <c r="Q107" s="2">
        <v>0</v>
      </c>
      <c r="R107" s="3">
        <v>0</v>
      </c>
    </row>
    <row r="108" spans="1:18" x14ac:dyDescent="0.25">
      <c r="A108" s="8">
        <v>44744</v>
      </c>
      <c r="B108" s="9" t="s">
        <v>68</v>
      </c>
      <c r="C108" s="1" t="s">
        <v>18</v>
      </c>
      <c r="D108" s="9" t="s">
        <v>152</v>
      </c>
      <c r="E108" s="2">
        <v>38</v>
      </c>
      <c r="F108" s="2">
        <v>11</v>
      </c>
      <c r="G108" s="2">
        <v>14</v>
      </c>
      <c r="H108" s="2">
        <v>7</v>
      </c>
      <c r="I108" s="2">
        <v>4</v>
      </c>
      <c r="J108" s="2">
        <v>0</v>
      </c>
      <c r="K108" s="2">
        <v>3</v>
      </c>
      <c r="L108" s="2">
        <v>9</v>
      </c>
      <c r="M108" s="2">
        <v>0</v>
      </c>
      <c r="N108" s="2">
        <v>0</v>
      </c>
      <c r="O108" s="2">
        <v>3</v>
      </c>
      <c r="P108" s="2">
        <v>11</v>
      </c>
      <c r="Q108" s="2">
        <v>1</v>
      </c>
      <c r="R108" s="3">
        <v>0</v>
      </c>
    </row>
    <row r="109" spans="1:18" x14ac:dyDescent="0.25">
      <c r="A109" s="8">
        <v>44744</v>
      </c>
      <c r="B109" s="9" t="s">
        <v>68</v>
      </c>
      <c r="C109" s="1" t="s">
        <v>18</v>
      </c>
      <c r="D109" s="9" t="s">
        <v>119</v>
      </c>
      <c r="E109" s="2">
        <v>40</v>
      </c>
      <c r="F109" s="2">
        <v>6</v>
      </c>
      <c r="G109" s="2">
        <v>13</v>
      </c>
      <c r="H109" s="2">
        <v>10</v>
      </c>
      <c r="I109" s="2">
        <v>1</v>
      </c>
      <c r="J109" s="2">
        <v>0</v>
      </c>
      <c r="K109" s="2">
        <v>2</v>
      </c>
      <c r="L109" s="2">
        <v>6</v>
      </c>
      <c r="M109" s="2">
        <v>2</v>
      </c>
      <c r="N109" s="2">
        <v>0</v>
      </c>
      <c r="O109" s="2">
        <v>2</v>
      </c>
      <c r="P109" s="2">
        <v>10</v>
      </c>
      <c r="Q109" s="2">
        <v>0</v>
      </c>
      <c r="R109" s="3">
        <v>0</v>
      </c>
    </row>
    <row r="110" spans="1:18" x14ac:dyDescent="0.25">
      <c r="A110" s="8">
        <v>44743</v>
      </c>
      <c r="B110" s="9" t="s">
        <v>68</v>
      </c>
      <c r="C110" s="1" t="s">
        <v>18</v>
      </c>
      <c r="D110" s="9" t="s">
        <v>153</v>
      </c>
      <c r="E110" s="2">
        <v>36</v>
      </c>
      <c r="F110" s="2">
        <v>2</v>
      </c>
      <c r="G110" s="2">
        <v>9</v>
      </c>
      <c r="H110" s="2">
        <v>7</v>
      </c>
      <c r="I110" s="2">
        <v>2</v>
      </c>
      <c r="J110" s="2">
        <v>0</v>
      </c>
      <c r="K110" s="2">
        <v>0</v>
      </c>
      <c r="L110" s="2">
        <v>2</v>
      </c>
      <c r="M110" s="2">
        <v>0</v>
      </c>
      <c r="N110" s="2">
        <v>0</v>
      </c>
      <c r="O110" s="2">
        <v>3</v>
      </c>
      <c r="P110" s="2">
        <v>7</v>
      </c>
      <c r="Q110" s="2">
        <v>1</v>
      </c>
      <c r="R110" s="3">
        <v>0</v>
      </c>
    </row>
    <row r="111" spans="1:18" x14ac:dyDescent="0.25">
      <c r="A111" s="8">
        <v>44742</v>
      </c>
      <c r="B111" s="9" t="s">
        <v>68</v>
      </c>
      <c r="C111" s="1" t="s">
        <v>18</v>
      </c>
      <c r="D111" s="9" t="s">
        <v>100</v>
      </c>
      <c r="E111" s="2">
        <v>31</v>
      </c>
      <c r="F111" s="2">
        <v>1</v>
      </c>
      <c r="G111" s="2">
        <v>5</v>
      </c>
      <c r="H111" s="2">
        <v>4</v>
      </c>
      <c r="I111" s="2">
        <v>0</v>
      </c>
      <c r="J111" s="2">
        <v>0</v>
      </c>
      <c r="K111" s="2">
        <v>1</v>
      </c>
      <c r="L111" s="2">
        <v>1</v>
      </c>
      <c r="M111" s="2">
        <v>1</v>
      </c>
      <c r="N111" s="2">
        <v>0</v>
      </c>
      <c r="O111" s="2">
        <v>2</v>
      </c>
      <c r="P111" s="2">
        <v>11</v>
      </c>
      <c r="Q111" s="2">
        <v>0</v>
      </c>
      <c r="R111" s="3">
        <v>0</v>
      </c>
    </row>
    <row r="112" spans="1:18" x14ac:dyDescent="0.25">
      <c r="A112" s="8">
        <v>44741</v>
      </c>
      <c r="B112" s="9"/>
      <c r="C112" s="1" t="s">
        <v>30</v>
      </c>
      <c r="D112" s="9" t="s">
        <v>91</v>
      </c>
      <c r="E112" s="2">
        <v>33</v>
      </c>
      <c r="F112" s="2">
        <v>3</v>
      </c>
      <c r="G112" s="2">
        <v>7</v>
      </c>
      <c r="H112" s="2">
        <v>4</v>
      </c>
      <c r="I112" s="2">
        <v>3</v>
      </c>
      <c r="J112" s="2">
        <v>0</v>
      </c>
      <c r="K112" s="2">
        <v>0</v>
      </c>
      <c r="L112" s="2">
        <v>3</v>
      </c>
      <c r="M112" s="2">
        <v>3</v>
      </c>
      <c r="N112" s="2">
        <v>0</v>
      </c>
      <c r="O112" s="2">
        <v>6</v>
      </c>
      <c r="P112" s="2">
        <v>9</v>
      </c>
      <c r="Q112" s="2">
        <v>0</v>
      </c>
      <c r="R112" s="3">
        <v>0</v>
      </c>
    </row>
    <row r="113" spans="1:18" x14ac:dyDescent="0.25">
      <c r="A113" s="8">
        <v>44740</v>
      </c>
      <c r="B113" s="9"/>
      <c r="C113" s="1" t="s">
        <v>30</v>
      </c>
      <c r="D113" s="9" t="s">
        <v>91</v>
      </c>
      <c r="E113" s="2">
        <v>32</v>
      </c>
      <c r="F113" s="2">
        <v>3</v>
      </c>
      <c r="G113" s="2">
        <v>5</v>
      </c>
      <c r="H113" s="2">
        <v>4</v>
      </c>
      <c r="I113" s="2">
        <v>1</v>
      </c>
      <c r="J113" s="2">
        <v>0</v>
      </c>
      <c r="K113" s="2">
        <v>0</v>
      </c>
      <c r="L113" s="2">
        <v>3</v>
      </c>
      <c r="M113" s="2">
        <v>2</v>
      </c>
      <c r="N113" s="2">
        <v>0</v>
      </c>
      <c r="O113" s="2">
        <v>3</v>
      </c>
      <c r="P113" s="2">
        <v>14</v>
      </c>
      <c r="Q113" s="2">
        <v>0</v>
      </c>
      <c r="R113" s="3">
        <v>0</v>
      </c>
    </row>
    <row r="114" spans="1:18" x14ac:dyDescent="0.25">
      <c r="A114" s="8">
        <v>44738</v>
      </c>
      <c r="B114" s="9"/>
      <c r="C114" s="1" t="s">
        <v>24</v>
      </c>
      <c r="D114" s="9" t="s">
        <v>80</v>
      </c>
      <c r="E114" s="2">
        <v>33</v>
      </c>
      <c r="F114" s="2">
        <v>4</v>
      </c>
      <c r="G114" s="2">
        <v>10</v>
      </c>
      <c r="H114" s="2">
        <v>6</v>
      </c>
      <c r="I114" s="2">
        <v>4</v>
      </c>
      <c r="J114" s="2">
        <v>0</v>
      </c>
      <c r="K114" s="2">
        <v>0</v>
      </c>
      <c r="L114" s="2">
        <v>4</v>
      </c>
      <c r="M114" s="2">
        <v>1</v>
      </c>
      <c r="N114" s="2">
        <v>0</v>
      </c>
      <c r="O114" s="2">
        <v>6</v>
      </c>
      <c r="P114" s="2">
        <v>8</v>
      </c>
      <c r="Q114" s="2">
        <v>0</v>
      </c>
      <c r="R114" s="3">
        <v>1</v>
      </c>
    </row>
    <row r="115" spans="1:18" x14ac:dyDescent="0.25">
      <c r="A115" s="8">
        <v>44737</v>
      </c>
      <c r="B115" s="9"/>
      <c r="C115" s="1" t="s">
        <v>24</v>
      </c>
      <c r="D115" s="9" t="s">
        <v>71</v>
      </c>
      <c r="E115" s="2">
        <v>39</v>
      </c>
      <c r="F115" s="2">
        <v>6</v>
      </c>
      <c r="G115" s="2">
        <v>14</v>
      </c>
      <c r="H115" s="2">
        <v>10</v>
      </c>
      <c r="I115" s="2">
        <v>3</v>
      </c>
      <c r="J115" s="2">
        <v>0</v>
      </c>
      <c r="K115" s="2">
        <v>1</v>
      </c>
      <c r="L115" s="2">
        <v>6</v>
      </c>
      <c r="M115" s="2">
        <v>0</v>
      </c>
      <c r="N115" s="2">
        <v>1</v>
      </c>
      <c r="O115" s="2">
        <v>3</v>
      </c>
      <c r="P115" s="2">
        <v>11</v>
      </c>
      <c r="Q115" s="2">
        <v>1</v>
      </c>
      <c r="R115" s="3">
        <v>0</v>
      </c>
    </row>
    <row r="116" spans="1:18" x14ac:dyDescent="0.25">
      <c r="A116" s="8">
        <v>44736</v>
      </c>
      <c r="B116" s="9"/>
      <c r="C116" s="1" t="s">
        <v>24</v>
      </c>
      <c r="D116" s="9" t="s">
        <v>78</v>
      </c>
      <c r="E116" s="2">
        <v>35</v>
      </c>
      <c r="F116" s="2">
        <v>4</v>
      </c>
      <c r="G116" s="2">
        <v>7</v>
      </c>
      <c r="H116" s="2">
        <v>7</v>
      </c>
      <c r="I116" s="2">
        <v>0</v>
      </c>
      <c r="J116" s="2">
        <v>0</v>
      </c>
      <c r="K116" s="2">
        <v>0</v>
      </c>
      <c r="L116" s="2">
        <v>3</v>
      </c>
      <c r="M116" s="2">
        <v>2</v>
      </c>
      <c r="N116" s="2">
        <v>0</v>
      </c>
      <c r="O116" s="2">
        <v>1</v>
      </c>
      <c r="P116" s="2">
        <v>10</v>
      </c>
      <c r="Q116" s="2">
        <v>0</v>
      </c>
      <c r="R116" s="3">
        <v>0</v>
      </c>
    </row>
    <row r="117" spans="1:18" x14ac:dyDescent="0.25">
      <c r="A117" s="8">
        <v>44734</v>
      </c>
      <c r="B117" s="9"/>
      <c r="C117" s="1" t="s">
        <v>27</v>
      </c>
      <c r="D117" s="9" t="s">
        <v>154</v>
      </c>
      <c r="E117" s="2">
        <v>34</v>
      </c>
      <c r="F117" s="2">
        <v>4</v>
      </c>
      <c r="G117" s="2">
        <v>10</v>
      </c>
      <c r="H117" s="2">
        <v>6</v>
      </c>
      <c r="I117" s="2">
        <v>2</v>
      </c>
      <c r="J117" s="2">
        <v>0</v>
      </c>
      <c r="K117" s="2">
        <v>2</v>
      </c>
      <c r="L117" s="2">
        <v>4</v>
      </c>
      <c r="M117" s="2">
        <v>0</v>
      </c>
      <c r="N117" s="2">
        <v>0</v>
      </c>
      <c r="O117" s="2">
        <v>3</v>
      </c>
      <c r="P117" s="2">
        <v>5</v>
      </c>
      <c r="Q117" s="2">
        <v>0</v>
      </c>
      <c r="R117" s="3">
        <v>1</v>
      </c>
    </row>
    <row r="118" spans="1:18" x14ac:dyDescent="0.25">
      <c r="A118" s="8">
        <v>44733</v>
      </c>
      <c r="B118" s="9"/>
      <c r="C118" s="1" t="s">
        <v>27</v>
      </c>
      <c r="D118" s="9" t="s">
        <v>150</v>
      </c>
      <c r="E118" s="2">
        <v>32</v>
      </c>
      <c r="F118" s="2">
        <v>5</v>
      </c>
      <c r="G118" s="2">
        <v>8</v>
      </c>
      <c r="H118" s="2">
        <v>2</v>
      </c>
      <c r="I118" s="2">
        <v>2</v>
      </c>
      <c r="J118" s="2">
        <v>0</v>
      </c>
      <c r="K118" s="2">
        <v>4</v>
      </c>
      <c r="L118" s="2">
        <v>5</v>
      </c>
      <c r="M118" s="2">
        <v>0</v>
      </c>
      <c r="N118" s="2">
        <v>0</v>
      </c>
      <c r="O118" s="2">
        <v>0</v>
      </c>
      <c r="P118" s="2">
        <v>5</v>
      </c>
      <c r="Q118" s="2">
        <v>1</v>
      </c>
      <c r="R118" s="3">
        <v>0</v>
      </c>
    </row>
    <row r="119" spans="1:18" x14ac:dyDescent="0.25">
      <c r="A119" s="8">
        <v>44732</v>
      </c>
      <c r="B119" s="9"/>
      <c r="C119" s="1" t="s">
        <v>27</v>
      </c>
      <c r="D119" s="9" t="s">
        <v>95</v>
      </c>
      <c r="E119" s="2">
        <v>31</v>
      </c>
      <c r="F119" s="2">
        <v>2</v>
      </c>
      <c r="G119" s="2">
        <v>3</v>
      </c>
      <c r="H119" s="2">
        <v>2</v>
      </c>
      <c r="I119" s="2">
        <v>1</v>
      </c>
      <c r="J119" s="2">
        <v>0</v>
      </c>
      <c r="K119" s="2">
        <v>0</v>
      </c>
      <c r="L119" s="2">
        <v>2</v>
      </c>
      <c r="M119" s="2">
        <v>0</v>
      </c>
      <c r="N119" s="2">
        <v>0</v>
      </c>
      <c r="O119" s="2">
        <v>5</v>
      </c>
      <c r="P119" s="2">
        <v>14</v>
      </c>
      <c r="Q119" s="2">
        <v>0</v>
      </c>
      <c r="R119" s="3">
        <v>0</v>
      </c>
    </row>
    <row r="120" spans="1:18" x14ac:dyDescent="0.25">
      <c r="A120" s="8">
        <v>44731</v>
      </c>
      <c r="B120" s="9" t="s">
        <v>68</v>
      </c>
      <c r="C120" s="1" t="s">
        <v>43</v>
      </c>
      <c r="D120" s="9" t="s">
        <v>102</v>
      </c>
      <c r="E120" s="2">
        <v>35</v>
      </c>
      <c r="F120" s="2">
        <v>1</v>
      </c>
      <c r="G120" s="2">
        <v>9</v>
      </c>
      <c r="H120" s="2">
        <v>7</v>
      </c>
      <c r="I120" s="2">
        <v>1</v>
      </c>
      <c r="J120" s="2">
        <v>1</v>
      </c>
      <c r="K120" s="2">
        <v>0</v>
      </c>
      <c r="L120" s="2">
        <v>1</v>
      </c>
      <c r="M120" s="2">
        <v>0</v>
      </c>
      <c r="N120" s="2">
        <v>0</v>
      </c>
      <c r="O120" s="2">
        <v>3</v>
      </c>
      <c r="P120" s="2">
        <v>9</v>
      </c>
      <c r="Q120" s="2">
        <v>0</v>
      </c>
      <c r="R120" s="3">
        <v>0</v>
      </c>
    </row>
    <row r="121" spans="1:18" x14ac:dyDescent="0.25">
      <c r="A121" s="8">
        <v>44730</v>
      </c>
      <c r="B121" s="9" t="s">
        <v>68</v>
      </c>
      <c r="C121" s="1" t="s">
        <v>43</v>
      </c>
      <c r="D121" s="9" t="s">
        <v>155</v>
      </c>
      <c r="E121" s="2">
        <v>39</v>
      </c>
      <c r="F121" s="2">
        <v>7</v>
      </c>
      <c r="G121" s="2">
        <v>14</v>
      </c>
      <c r="H121" s="2">
        <v>9</v>
      </c>
      <c r="I121" s="2">
        <v>4</v>
      </c>
      <c r="J121" s="2">
        <v>0</v>
      </c>
      <c r="K121" s="2">
        <v>1</v>
      </c>
      <c r="L121" s="2">
        <v>7</v>
      </c>
      <c r="M121" s="2">
        <v>0</v>
      </c>
      <c r="N121" s="2">
        <v>0</v>
      </c>
      <c r="O121" s="2">
        <v>2</v>
      </c>
      <c r="P121" s="2">
        <v>9</v>
      </c>
      <c r="Q121" s="2">
        <v>1</v>
      </c>
      <c r="R121" s="3">
        <v>0</v>
      </c>
    </row>
    <row r="122" spans="1:18" x14ac:dyDescent="0.25">
      <c r="A122" s="8">
        <v>44729</v>
      </c>
      <c r="B122" s="9" t="s">
        <v>68</v>
      </c>
      <c r="C122" s="1" t="s">
        <v>43</v>
      </c>
      <c r="D122" s="9" t="s">
        <v>105</v>
      </c>
      <c r="E122" s="2">
        <v>32</v>
      </c>
      <c r="F122" s="2">
        <v>0</v>
      </c>
      <c r="G122" s="2">
        <v>8</v>
      </c>
      <c r="H122" s="2">
        <v>8</v>
      </c>
      <c r="I122" s="2">
        <v>0</v>
      </c>
      <c r="J122" s="2">
        <v>0</v>
      </c>
      <c r="K122" s="2">
        <v>0</v>
      </c>
      <c r="L122" s="2">
        <v>0</v>
      </c>
      <c r="M122" s="2">
        <v>0</v>
      </c>
      <c r="N122" s="2">
        <v>1</v>
      </c>
      <c r="O122" s="2">
        <v>1</v>
      </c>
      <c r="P122" s="2">
        <v>13</v>
      </c>
      <c r="Q122" s="2">
        <v>0</v>
      </c>
      <c r="R122" s="3">
        <v>0</v>
      </c>
    </row>
    <row r="123" spans="1:18" x14ac:dyDescent="0.25">
      <c r="A123" s="8">
        <v>44728</v>
      </c>
      <c r="B123" s="9" t="s">
        <v>68</v>
      </c>
      <c r="C123" s="1" t="s">
        <v>27</v>
      </c>
      <c r="D123" s="9" t="s">
        <v>102</v>
      </c>
      <c r="E123" s="2">
        <v>29</v>
      </c>
      <c r="F123" s="2">
        <v>1</v>
      </c>
      <c r="G123" s="2">
        <v>3</v>
      </c>
      <c r="H123" s="2">
        <v>2</v>
      </c>
      <c r="I123" s="2">
        <v>0</v>
      </c>
      <c r="J123" s="2">
        <v>0</v>
      </c>
      <c r="K123" s="2">
        <v>1</v>
      </c>
      <c r="L123" s="2">
        <v>1</v>
      </c>
      <c r="M123" s="2">
        <v>0</v>
      </c>
      <c r="N123" s="2">
        <v>1</v>
      </c>
      <c r="O123" s="2">
        <v>2</v>
      </c>
      <c r="P123" s="2">
        <v>9</v>
      </c>
      <c r="Q123" s="2">
        <v>0</v>
      </c>
      <c r="R123" s="3">
        <v>0</v>
      </c>
    </row>
    <row r="124" spans="1:18" x14ac:dyDescent="0.25">
      <c r="A124" s="8">
        <v>44727</v>
      </c>
      <c r="B124" s="9" t="s">
        <v>68</v>
      </c>
      <c r="C124" s="1" t="s">
        <v>27</v>
      </c>
      <c r="D124" s="9" t="s">
        <v>92</v>
      </c>
      <c r="E124" s="2">
        <v>34</v>
      </c>
      <c r="F124" s="2">
        <v>3</v>
      </c>
      <c r="G124" s="2">
        <v>7</v>
      </c>
      <c r="H124" s="2">
        <v>3</v>
      </c>
      <c r="I124" s="2">
        <v>4</v>
      </c>
      <c r="J124" s="2">
        <v>0</v>
      </c>
      <c r="K124" s="2">
        <v>0</v>
      </c>
      <c r="L124" s="2">
        <v>3</v>
      </c>
      <c r="M124" s="2">
        <v>0</v>
      </c>
      <c r="N124" s="2">
        <v>0</v>
      </c>
      <c r="O124" s="2">
        <v>3</v>
      </c>
      <c r="P124" s="2">
        <v>8</v>
      </c>
      <c r="Q124" s="2">
        <v>1</v>
      </c>
      <c r="R124" s="3">
        <v>0</v>
      </c>
    </row>
    <row r="125" spans="1:18" x14ac:dyDescent="0.25">
      <c r="A125" s="8">
        <v>44726</v>
      </c>
      <c r="B125" s="9" t="s">
        <v>68</v>
      </c>
      <c r="C125" s="1" t="s">
        <v>27</v>
      </c>
      <c r="D125" s="9" t="s">
        <v>104</v>
      </c>
      <c r="E125" s="2">
        <v>33</v>
      </c>
      <c r="F125" s="2">
        <v>0</v>
      </c>
      <c r="G125" s="2">
        <v>7</v>
      </c>
      <c r="H125" s="2">
        <v>7</v>
      </c>
      <c r="I125" s="2">
        <v>0</v>
      </c>
      <c r="J125" s="2">
        <v>0</v>
      </c>
      <c r="K125" s="2">
        <v>0</v>
      </c>
      <c r="L125" s="2">
        <v>0</v>
      </c>
      <c r="M125" s="2">
        <v>0</v>
      </c>
      <c r="N125" s="2">
        <v>0</v>
      </c>
      <c r="O125" s="2">
        <v>2</v>
      </c>
      <c r="P125" s="2">
        <v>11</v>
      </c>
      <c r="Q125" s="2">
        <v>0</v>
      </c>
      <c r="R125" s="3">
        <v>0</v>
      </c>
    </row>
    <row r="126" spans="1:18" x14ac:dyDescent="0.25">
      <c r="A126" s="8">
        <v>44724</v>
      </c>
      <c r="B126" s="9" t="s">
        <v>68</v>
      </c>
      <c r="C126" s="1" t="s">
        <v>29</v>
      </c>
      <c r="D126" s="9" t="s">
        <v>156</v>
      </c>
      <c r="E126" s="2">
        <v>35</v>
      </c>
      <c r="F126" s="2">
        <v>6</v>
      </c>
      <c r="G126" s="2">
        <v>7</v>
      </c>
      <c r="H126" s="2">
        <v>3</v>
      </c>
      <c r="I126" s="2">
        <v>3</v>
      </c>
      <c r="J126" s="2">
        <v>0</v>
      </c>
      <c r="K126" s="2">
        <v>1</v>
      </c>
      <c r="L126" s="2">
        <v>6</v>
      </c>
      <c r="M126" s="2">
        <v>3</v>
      </c>
      <c r="N126" s="2">
        <v>0</v>
      </c>
      <c r="O126" s="2">
        <v>3</v>
      </c>
      <c r="P126" s="2">
        <v>8</v>
      </c>
      <c r="Q126" s="2">
        <v>2</v>
      </c>
      <c r="R126" s="3">
        <v>0</v>
      </c>
    </row>
    <row r="127" spans="1:18" x14ac:dyDescent="0.25">
      <c r="A127" s="8">
        <v>44723</v>
      </c>
      <c r="B127" s="9" t="s">
        <v>68</v>
      </c>
      <c r="C127" s="1" t="s">
        <v>29</v>
      </c>
      <c r="D127" s="9" t="s">
        <v>157</v>
      </c>
      <c r="E127" s="2">
        <v>38</v>
      </c>
      <c r="F127" s="2">
        <v>5</v>
      </c>
      <c r="G127" s="2">
        <v>13</v>
      </c>
      <c r="H127" s="2">
        <v>11</v>
      </c>
      <c r="I127" s="2">
        <v>2</v>
      </c>
      <c r="J127" s="2">
        <v>0</v>
      </c>
      <c r="K127" s="2">
        <v>0</v>
      </c>
      <c r="L127" s="2">
        <v>4</v>
      </c>
      <c r="M127" s="2">
        <v>1</v>
      </c>
      <c r="N127" s="2">
        <v>2</v>
      </c>
      <c r="O127" s="2">
        <v>0</v>
      </c>
      <c r="P127" s="2">
        <v>10</v>
      </c>
      <c r="Q127" s="2">
        <v>0</v>
      </c>
      <c r="R127" s="3">
        <v>0</v>
      </c>
    </row>
    <row r="128" spans="1:18" x14ac:dyDescent="0.25">
      <c r="A128" s="8">
        <v>44722</v>
      </c>
      <c r="B128" s="9" t="s">
        <v>68</v>
      </c>
      <c r="C128" s="1" t="s">
        <v>29</v>
      </c>
      <c r="D128" s="9" t="s">
        <v>89</v>
      </c>
      <c r="E128" s="2">
        <v>32</v>
      </c>
      <c r="F128" s="2">
        <v>4</v>
      </c>
      <c r="G128" s="2">
        <v>6</v>
      </c>
      <c r="H128" s="2">
        <v>3</v>
      </c>
      <c r="I128" s="2">
        <v>0</v>
      </c>
      <c r="J128" s="2">
        <v>0</v>
      </c>
      <c r="K128" s="2">
        <v>3</v>
      </c>
      <c r="L128" s="2">
        <v>4</v>
      </c>
      <c r="M128" s="2">
        <v>0</v>
      </c>
      <c r="N128" s="2">
        <v>0</v>
      </c>
      <c r="O128" s="2">
        <v>3</v>
      </c>
      <c r="P128" s="2">
        <v>8</v>
      </c>
      <c r="Q128" s="2">
        <v>0</v>
      </c>
      <c r="R128" s="3">
        <v>0</v>
      </c>
    </row>
    <row r="129" spans="1:18" x14ac:dyDescent="0.25">
      <c r="A129" s="8">
        <v>44721</v>
      </c>
      <c r="B129" s="9"/>
      <c r="C129" s="1" t="s">
        <v>20</v>
      </c>
      <c r="D129" s="9" t="s">
        <v>86</v>
      </c>
      <c r="E129" s="2">
        <v>26</v>
      </c>
      <c r="F129" s="2">
        <v>2</v>
      </c>
      <c r="G129" s="2">
        <v>3</v>
      </c>
      <c r="H129" s="2">
        <v>2</v>
      </c>
      <c r="I129" s="2">
        <v>0</v>
      </c>
      <c r="J129" s="2">
        <v>0</v>
      </c>
      <c r="K129" s="2">
        <v>1</v>
      </c>
      <c r="L129" s="2">
        <v>2</v>
      </c>
      <c r="M129" s="2">
        <v>0</v>
      </c>
      <c r="N129" s="2">
        <v>0</v>
      </c>
      <c r="O129" s="2">
        <v>0</v>
      </c>
      <c r="P129" s="2">
        <v>9</v>
      </c>
      <c r="Q129" s="2">
        <v>0</v>
      </c>
      <c r="R129" s="3">
        <v>0</v>
      </c>
    </row>
    <row r="130" spans="1:18" x14ac:dyDescent="0.25">
      <c r="A130" s="8">
        <v>44720</v>
      </c>
      <c r="B130" s="9"/>
      <c r="C130" s="1" t="s">
        <v>20</v>
      </c>
      <c r="D130" s="9" t="s">
        <v>158</v>
      </c>
      <c r="E130" s="2">
        <v>43</v>
      </c>
      <c r="F130" s="2">
        <v>11</v>
      </c>
      <c r="G130" s="2">
        <v>18</v>
      </c>
      <c r="H130" s="2">
        <v>11</v>
      </c>
      <c r="I130" s="2">
        <v>7</v>
      </c>
      <c r="J130" s="2">
        <v>0</v>
      </c>
      <c r="K130" s="2">
        <v>0</v>
      </c>
      <c r="L130" s="2">
        <v>11</v>
      </c>
      <c r="M130" s="2">
        <v>1</v>
      </c>
      <c r="N130" s="2">
        <v>0</v>
      </c>
      <c r="O130" s="2">
        <v>4</v>
      </c>
      <c r="P130" s="2">
        <v>7</v>
      </c>
      <c r="Q130" s="2">
        <v>0</v>
      </c>
      <c r="R130" s="3">
        <v>0</v>
      </c>
    </row>
    <row r="131" spans="1:18" x14ac:dyDescent="0.25">
      <c r="A131" s="8">
        <v>44719</v>
      </c>
      <c r="B131" s="9"/>
      <c r="C131" s="1" t="s">
        <v>20</v>
      </c>
      <c r="D131" s="9" t="s">
        <v>159</v>
      </c>
      <c r="E131" s="2">
        <v>31</v>
      </c>
      <c r="F131" s="2">
        <v>4</v>
      </c>
      <c r="G131" s="2">
        <v>3</v>
      </c>
      <c r="H131" s="2">
        <v>0</v>
      </c>
      <c r="I131" s="2">
        <v>2</v>
      </c>
      <c r="J131" s="2">
        <v>0</v>
      </c>
      <c r="K131" s="2">
        <v>1</v>
      </c>
      <c r="L131" s="2">
        <v>4</v>
      </c>
      <c r="M131" s="2">
        <v>0</v>
      </c>
      <c r="N131" s="2">
        <v>0</v>
      </c>
      <c r="O131" s="2">
        <v>3</v>
      </c>
      <c r="P131" s="2">
        <v>7</v>
      </c>
      <c r="Q131" s="2">
        <v>0</v>
      </c>
      <c r="R131" s="3">
        <v>0</v>
      </c>
    </row>
    <row r="132" spans="1:18" x14ac:dyDescent="0.25">
      <c r="A132" s="8">
        <v>44717</v>
      </c>
      <c r="B132" s="9"/>
      <c r="C132" s="1" t="s">
        <v>40</v>
      </c>
      <c r="D132" s="9" t="s">
        <v>157</v>
      </c>
      <c r="E132" s="2">
        <v>33</v>
      </c>
      <c r="F132" s="2">
        <v>5</v>
      </c>
      <c r="G132" s="2">
        <v>9</v>
      </c>
      <c r="H132" s="2">
        <v>5</v>
      </c>
      <c r="I132" s="2">
        <v>1</v>
      </c>
      <c r="J132" s="2">
        <v>1</v>
      </c>
      <c r="K132" s="2">
        <v>2</v>
      </c>
      <c r="L132" s="2">
        <v>5</v>
      </c>
      <c r="M132" s="2">
        <v>0</v>
      </c>
      <c r="N132" s="2">
        <v>1</v>
      </c>
      <c r="O132" s="2">
        <v>2</v>
      </c>
      <c r="P132" s="2">
        <v>8</v>
      </c>
      <c r="Q132" s="2">
        <v>0</v>
      </c>
      <c r="R132" s="3">
        <v>0</v>
      </c>
    </row>
    <row r="133" spans="1:18" x14ac:dyDescent="0.25">
      <c r="A133" s="8">
        <v>44716</v>
      </c>
      <c r="B133" s="9"/>
      <c r="C133" s="1" t="s">
        <v>40</v>
      </c>
      <c r="D133" s="9" t="s">
        <v>130</v>
      </c>
      <c r="E133" s="2">
        <v>30</v>
      </c>
      <c r="F133" s="2">
        <v>2</v>
      </c>
      <c r="G133" s="2">
        <v>4</v>
      </c>
      <c r="H133" s="2">
        <v>4</v>
      </c>
      <c r="I133" s="2">
        <v>0</v>
      </c>
      <c r="J133" s="2">
        <v>0</v>
      </c>
      <c r="K133" s="2">
        <v>0</v>
      </c>
      <c r="L133" s="2">
        <v>1</v>
      </c>
      <c r="M133" s="2">
        <v>2</v>
      </c>
      <c r="N133" s="2">
        <v>1</v>
      </c>
      <c r="O133" s="2">
        <v>8</v>
      </c>
      <c r="P133" s="2">
        <v>11</v>
      </c>
      <c r="Q133" s="2">
        <v>0</v>
      </c>
      <c r="R133" s="3">
        <v>0</v>
      </c>
    </row>
    <row r="134" spans="1:18" x14ac:dyDescent="0.25">
      <c r="A134" s="8">
        <v>44715</v>
      </c>
      <c r="B134" s="9"/>
      <c r="C134" s="1" t="s">
        <v>40</v>
      </c>
      <c r="D134" s="9" t="s">
        <v>73</v>
      </c>
      <c r="E134" s="2">
        <v>30</v>
      </c>
      <c r="F134" s="2">
        <v>6</v>
      </c>
      <c r="G134" s="2">
        <v>8</v>
      </c>
      <c r="H134" s="2">
        <v>5</v>
      </c>
      <c r="I134" s="2">
        <v>2</v>
      </c>
      <c r="J134" s="2">
        <v>0</v>
      </c>
      <c r="K134" s="2">
        <v>1</v>
      </c>
      <c r="L134" s="2">
        <v>6</v>
      </c>
      <c r="M134" s="2">
        <v>2</v>
      </c>
      <c r="N134" s="2">
        <v>1</v>
      </c>
      <c r="O134" s="2">
        <v>4</v>
      </c>
      <c r="P134" s="2">
        <v>2</v>
      </c>
      <c r="Q134" s="2">
        <v>0</v>
      </c>
      <c r="R134" s="3">
        <v>0</v>
      </c>
    </row>
    <row r="135" spans="1:18" x14ac:dyDescent="0.25">
      <c r="A135" s="8">
        <v>44714</v>
      </c>
      <c r="B135" s="9" t="s">
        <v>68</v>
      </c>
      <c r="C135" s="1" t="s">
        <v>19</v>
      </c>
      <c r="D135" s="9" t="s">
        <v>84</v>
      </c>
      <c r="E135" s="2">
        <v>33</v>
      </c>
      <c r="F135" s="2">
        <v>3</v>
      </c>
      <c r="G135" s="2">
        <v>9</v>
      </c>
      <c r="H135" s="2">
        <v>7</v>
      </c>
      <c r="I135" s="2">
        <v>2</v>
      </c>
      <c r="J135" s="2">
        <v>0</v>
      </c>
      <c r="K135" s="2">
        <v>0</v>
      </c>
      <c r="L135" s="2">
        <v>3</v>
      </c>
      <c r="M135" s="2">
        <v>1</v>
      </c>
      <c r="N135" s="2">
        <v>0</v>
      </c>
      <c r="O135" s="2">
        <v>7</v>
      </c>
      <c r="P135" s="2">
        <v>4</v>
      </c>
      <c r="Q135" s="2">
        <v>0</v>
      </c>
      <c r="R135" s="3">
        <v>0</v>
      </c>
    </row>
    <row r="136" spans="1:18" x14ac:dyDescent="0.25">
      <c r="A136" s="8">
        <v>44713</v>
      </c>
      <c r="B136" s="9" t="s">
        <v>68</v>
      </c>
      <c r="C136" s="1" t="s">
        <v>19</v>
      </c>
      <c r="D136" s="9" t="s">
        <v>139</v>
      </c>
      <c r="E136" s="2">
        <v>37</v>
      </c>
      <c r="F136" s="2">
        <v>4</v>
      </c>
      <c r="G136" s="2">
        <v>6</v>
      </c>
      <c r="H136" s="2">
        <v>3</v>
      </c>
      <c r="I136" s="2">
        <v>2</v>
      </c>
      <c r="J136" s="2">
        <v>0</v>
      </c>
      <c r="K136" s="2">
        <v>1</v>
      </c>
      <c r="L136" s="2">
        <v>4</v>
      </c>
      <c r="M136" s="2">
        <v>0</v>
      </c>
      <c r="N136" s="2">
        <v>0</v>
      </c>
      <c r="O136" s="2">
        <v>3</v>
      </c>
      <c r="P136" s="2">
        <v>15</v>
      </c>
      <c r="Q136" s="2">
        <v>1</v>
      </c>
      <c r="R136" s="3">
        <v>0</v>
      </c>
    </row>
    <row r="137" spans="1:18" x14ac:dyDescent="0.25">
      <c r="A137" s="8">
        <v>44712</v>
      </c>
      <c r="B137" s="9" t="s">
        <v>68</v>
      </c>
      <c r="C137" s="1" t="s">
        <v>19</v>
      </c>
      <c r="D137" s="9" t="s">
        <v>103</v>
      </c>
      <c r="E137" s="2">
        <v>30</v>
      </c>
      <c r="F137" s="2">
        <v>0</v>
      </c>
      <c r="G137" s="2">
        <v>3</v>
      </c>
      <c r="H137" s="2">
        <v>3</v>
      </c>
      <c r="I137" s="2">
        <v>0</v>
      </c>
      <c r="J137" s="2">
        <v>0</v>
      </c>
      <c r="K137" s="2">
        <v>0</v>
      </c>
      <c r="L137" s="2">
        <v>0</v>
      </c>
      <c r="M137" s="2">
        <v>0</v>
      </c>
      <c r="N137" s="2">
        <v>0</v>
      </c>
      <c r="O137" s="2">
        <v>0</v>
      </c>
      <c r="P137" s="2">
        <v>6</v>
      </c>
      <c r="Q137" s="2">
        <v>0</v>
      </c>
      <c r="R137" s="3">
        <v>0</v>
      </c>
    </row>
    <row r="138" spans="1:18" x14ac:dyDescent="0.25">
      <c r="A138" s="8">
        <v>44711</v>
      </c>
      <c r="B138" s="9" t="s">
        <v>68</v>
      </c>
      <c r="C138" s="1" t="s">
        <v>19</v>
      </c>
      <c r="D138" s="9" t="s">
        <v>87</v>
      </c>
      <c r="E138" s="2">
        <v>35</v>
      </c>
      <c r="F138" s="2">
        <v>5</v>
      </c>
      <c r="G138" s="2">
        <v>10</v>
      </c>
      <c r="H138" s="2">
        <v>8</v>
      </c>
      <c r="I138" s="2">
        <v>2</v>
      </c>
      <c r="J138" s="2">
        <v>0</v>
      </c>
      <c r="K138" s="2">
        <v>0</v>
      </c>
      <c r="L138" s="2">
        <v>5</v>
      </c>
      <c r="M138" s="2">
        <v>0</v>
      </c>
      <c r="N138" s="2">
        <v>0</v>
      </c>
      <c r="O138" s="2">
        <v>4</v>
      </c>
      <c r="P138" s="2">
        <v>8</v>
      </c>
      <c r="Q138" s="2">
        <v>1</v>
      </c>
      <c r="R138" s="3">
        <v>0</v>
      </c>
    </row>
    <row r="139" spans="1:18" x14ac:dyDescent="0.25">
      <c r="A139" s="8">
        <v>44710</v>
      </c>
      <c r="B139" s="9"/>
      <c r="C139" s="1" t="s">
        <v>27</v>
      </c>
      <c r="D139" s="9" t="s">
        <v>80</v>
      </c>
      <c r="E139" s="2">
        <v>26</v>
      </c>
      <c r="F139" s="2">
        <v>4</v>
      </c>
      <c r="G139" s="2">
        <v>2</v>
      </c>
      <c r="H139" s="2">
        <v>0</v>
      </c>
      <c r="I139" s="2">
        <v>0</v>
      </c>
      <c r="J139" s="2">
        <v>0</v>
      </c>
      <c r="K139" s="2">
        <v>2</v>
      </c>
      <c r="L139" s="2">
        <v>4</v>
      </c>
      <c r="M139" s="2">
        <v>0</v>
      </c>
      <c r="N139" s="2">
        <v>0</v>
      </c>
      <c r="O139" s="2">
        <v>4</v>
      </c>
      <c r="P139" s="2">
        <v>9</v>
      </c>
      <c r="Q139" s="2">
        <v>1</v>
      </c>
      <c r="R139" s="3">
        <v>0</v>
      </c>
    </row>
    <row r="140" spans="1:18" x14ac:dyDescent="0.25">
      <c r="A140" s="8">
        <v>44709</v>
      </c>
      <c r="B140" s="9"/>
      <c r="C140" s="1" t="s">
        <v>27</v>
      </c>
      <c r="D140" s="9" t="s">
        <v>84</v>
      </c>
      <c r="E140" s="2">
        <v>30</v>
      </c>
      <c r="F140" s="2">
        <v>3</v>
      </c>
      <c r="G140" s="2">
        <v>7</v>
      </c>
      <c r="H140" s="2">
        <v>5</v>
      </c>
      <c r="I140" s="2">
        <v>1</v>
      </c>
      <c r="J140" s="2">
        <v>1</v>
      </c>
      <c r="K140" s="2">
        <v>0</v>
      </c>
      <c r="L140" s="2">
        <v>3</v>
      </c>
      <c r="M140" s="2">
        <v>0</v>
      </c>
      <c r="N140" s="2">
        <v>0</v>
      </c>
      <c r="O140" s="2">
        <v>3</v>
      </c>
      <c r="P140" s="2">
        <v>10</v>
      </c>
      <c r="Q140" s="2">
        <v>0</v>
      </c>
      <c r="R140" s="3">
        <v>0</v>
      </c>
    </row>
    <row r="141" spans="1:18" x14ac:dyDescent="0.25">
      <c r="A141" s="8">
        <v>44708</v>
      </c>
      <c r="B141" s="9"/>
      <c r="C141" s="1" t="s">
        <v>27</v>
      </c>
      <c r="D141" s="9" t="s">
        <v>104</v>
      </c>
      <c r="E141" s="2">
        <v>28</v>
      </c>
      <c r="F141" s="2">
        <v>0</v>
      </c>
      <c r="G141" s="2">
        <v>2</v>
      </c>
      <c r="H141" s="2">
        <v>1</v>
      </c>
      <c r="I141" s="2">
        <v>1</v>
      </c>
      <c r="J141" s="2">
        <v>0</v>
      </c>
      <c r="K141" s="2">
        <v>0</v>
      </c>
      <c r="L141" s="2">
        <v>0</v>
      </c>
      <c r="M141" s="2">
        <v>0</v>
      </c>
      <c r="N141" s="2">
        <v>1</v>
      </c>
      <c r="O141" s="2">
        <v>0</v>
      </c>
      <c r="P141" s="2">
        <v>7</v>
      </c>
      <c r="Q141" s="2">
        <v>0</v>
      </c>
      <c r="R141" s="3">
        <v>0</v>
      </c>
    </row>
    <row r="142" spans="1:18" x14ac:dyDescent="0.25">
      <c r="A142" s="8">
        <v>44707</v>
      </c>
      <c r="B142" s="9"/>
      <c r="C142" s="1" t="s">
        <v>27</v>
      </c>
      <c r="D142" s="9" t="s">
        <v>93</v>
      </c>
      <c r="E142" s="2">
        <v>33</v>
      </c>
      <c r="F142" s="2">
        <v>2</v>
      </c>
      <c r="G142" s="2">
        <v>6</v>
      </c>
      <c r="H142" s="2">
        <v>5</v>
      </c>
      <c r="I142" s="2">
        <v>1</v>
      </c>
      <c r="J142" s="2">
        <v>0</v>
      </c>
      <c r="K142" s="2">
        <v>0</v>
      </c>
      <c r="L142" s="2">
        <v>2</v>
      </c>
      <c r="M142" s="2">
        <v>0</v>
      </c>
      <c r="N142" s="2">
        <v>0</v>
      </c>
      <c r="O142" s="2">
        <v>1</v>
      </c>
      <c r="P142" s="2">
        <v>6</v>
      </c>
      <c r="Q142" s="2">
        <v>0</v>
      </c>
      <c r="R142" s="3">
        <v>0</v>
      </c>
    </row>
    <row r="143" spans="1:18" x14ac:dyDescent="0.25">
      <c r="A143" s="8">
        <v>44706</v>
      </c>
      <c r="B143" s="9"/>
      <c r="C143" s="1" t="s">
        <v>31</v>
      </c>
      <c r="D143" s="9" t="s">
        <v>150</v>
      </c>
      <c r="E143" s="2">
        <v>29</v>
      </c>
      <c r="F143" s="2">
        <v>5</v>
      </c>
      <c r="G143" s="2">
        <v>6</v>
      </c>
      <c r="H143" s="2">
        <v>2</v>
      </c>
      <c r="I143" s="2">
        <v>3</v>
      </c>
      <c r="J143" s="2">
        <v>0</v>
      </c>
      <c r="K143" s="2">
        <v>1</v>
      </c>
      <c r="L143" s="2">
        <v>5</v>
      </c>
      <c r="M143" s="2">
        <v>0</v>
      </c>
      <c r="N143" s="2">
        <v>0</v>
      </c>
      <c r="O143" s="2">
        <v>4</v>
      </c>
      <c r="P143" s="2">
        <v>9</v>
      </c>
      <c r="Q143" s="2">
        <v>0</v>
      </c>
      <c r="R143" s="3">
        <v>0</v>
      </c>
    </row>
    <row r="144" spans="1:18" x14ac:dyDescent="0.25">
      <c r="A144" s="8">
        <v>44705</v>
      </c>
      <c r="B144" s="9"/>
      <c r="C144" s="1" t="s">
        <v>31</v>
      </c>
      <c r="D144" s="9" t="s">
        <v>82</v>
      </c>
      <c r="E144" s="2">
        <v>33</v>
      </c>
      <c r="F144" s="2">
        <v>4</v>
      </c>
      <c r="G144" s="2">
        <v>10</v>
      </c>
      <c r="H144" s="2">
        <v>4</v>
      </c>
      <c r="I144" s="2">
        <v>3</v>
      </c>
      <c r="J144" s="2">
        <v>0</v>
      </c>
      <c r="K144" s="2">
        <v>3</v>
      </c>
      <c r="L144" s="2">
        <v>4</v>
      </c>
      <c r="M144" s="2">
        <v>0</v>
      </c>
      <c r="N144" s="2">
        <v>0</v>
      </c>
      <c r="O144" s="2">
        <v>1</v>
      </c>
      <c r="P144" s="2">
        <v>9</v>
      </c>
      <c r="Q144" s="2">
        <v>0</v>
      </c>
      <c r="R144" s="3">
        <v>0</v>
      </c>
    </row>
    <row r="145" spans="1:18" x14ac:dyDescent="0.25">
      <c r="A145" s="8">
        <v>44703</v>
      </c>
      <c r="B145" s="9" t="s">
        <v>68</v>
      </c>
      <c r="C145" s="1" t="s">
        <v>43</v>
      </c>
      <c r="D145" s="9" t="s">
        <v>160</v>
      </c>
      <c r="E145" s="2">
        <v>46</v>
      </c>
      <c r="F145" s="2">
        <v>6</v>
      </c>
      <c r="G145" s="2">
        <v>12</v>
      </c>
      <c r="H145" s="2">
        <v>8</v>
      </c>
      <c r="I145" s="2">
        <v>3</v>
      </c>
      <c r="J145" s="2">
        <v>0</v>
      </c>
      <c r="K145" s="2">
        <v>1</v>
      </c>
      <c r="L145" s="2">
        <v>6</v>
      </c>
      <c r="M145" s="2">
        <v>3</v>
      </c>
      <c r="N145" s="2">
        <v>0</v>
      </c>
      <c r="O145" s="2">
        <v>3</v>
      </c>
      <c r="P145" s="2">
        <v>12</v>
      </c>
      <c r="Q145" s="2">
        <v>0</v>
      </c>
      <c r="R145" s="3">
        <v>1</v>
      </c>
    </row>
    <row r="146" spans="1:18" x14ac:dyDescent="0.25">
      <c r="A146" s="8">
        <v>44702</v>
      </c>
      <c r="B146" s="9" t="s">
        <v>68</v>
      </c>
      <c r="C146" s="1" t="s">
        <v>43</v>
      </c>
      <c r="D146" s="9" t="s">
        <v>74</v>
      </c>
      <c r="E146" s="2">
        <v>33</v>
      </c>
      <c r="F146" s="2">
        <v>6</v>
      </c>
      <c r="G146" s="2">
        <v>9</v>
      </c>
      <c r="H146" s="2">
        <v>6</v>
      </c>
      <c r="I146" s="2">
        <v>0</v>
      </c>
      <c r="J146" s="2">
        <v>0</v>
      </c>
      <c r="K146" s="2">
        <v>3</v>
      </c>
      <c r="L146" s="2">
        <v>6</v>
      </c>
      <c r="M146" s="2">
        <v>0</v>
      </c>
      <c r="N146" s="2">
        <v>0</v>
      </c>
      <c r="O146" s="2">
        <v>2</v>
      </c>
      <c r="P146" s="2">
        <v>7</v>
      </c>
      <c r="Q146" s="2">
        <v>0</v>
      </c>
      <c r="R146" s="3">
        <v>0</v>
      </c>
    </row>
    <row r="147" spans="1:18" x14ac:dyDescent="0.25">
      <c r="A147" s="8">
        <v>44701</v>
      </c>
      <c r="B147" s="9" t="s">
        <v>68</v>
      </c>
      <c r="C147" s="1" t="s">
        <v>43</v>
      </c>
      <c r="D147" s="9" t="s">
        <v>161</v>
      </c>
      <c r="E147" s="2">
        <v>48</v>
      </c>
      <c r="F147" s="2">
        <v>6</v>
      </c>
      <c r="G147" s="2">
        <v>10</v>
      </c>
      <c r="H147" s="2">
        <v>7</v>
      </c>
      <c r="I147" s="2">
        <v>2</v>
      </c>
      <c r="J147" s="2">
        <v>0</v>
      </c>
      <c r="K147" s="2">
        <v>1</v>
      </c>
      <c r="L147" s="2">
        <v>6</v>
      </c>
      <c r="M147" s="2">
        <v>0</v>
      </c>
      <c r="N147" s="2">
        <v>0</v>
      </c>
      <c r="O147" s="2">
        <v>3</v>
      </c>
      <c r="P147" s="2">
        <v>9</v>
      </c>
      <c r="Q147" s="2">
        <v>0</v>
      </c>
      <c r="R147" s="3">
        <v>1</v>
      </c>
    </row>
    <row r="148" spans="1:18" x14ac:dyDescent="0.25">
      <c r="A148" s="8">
        <v>44699</v>
      </c>
      <c r="B148" s="9"/>
      <c r="C148" s="1" t="s">
        <v>36</v>
      </c>
      <c r="D148" s="9" t="s">
        <v>74</v>
      </c>
      <c r="E148" s="2">
        <v>32</v>
      </c>
      <c r="F148" s="2">
        <v>6</v>
      </c>
      <c r="G148" s="2">
        <v>11</v>
      </c>
      <c r="H148" s="2">
        <v>9</v>
      </c>
      <c r="I148" s="2">
        <v>0</v>
      </c>
      <c r="J148" s="2">
        <v>0</v>
      </c>
      <c r="K148" s="2">
        <v>2</v>
      </c>
      <c r="L148" s="2">
        <v>6</v>
      </c>
      <c r="M148" s="2">
        <v>2</v>
      </c>
      <c r="N148" s="2">
        <v>1</v>
      </c>
      <c r="O148" s="2">
        <v>3</v>
      </c>
      <c r="P148" s="2">
        <v>9</v>
      </c>
      <c r="Q148" s="2">
        <v>0</v>
      </c>
      <c r="R148" s="3">
        <v>0</v>
      </c>
    </row>
    <row r="149" spans="1:18" x14ac:dyDescent="0.25">
      <c r="A149" s="8">
        <v>44698</v>
      </c>
      <c r="B149" s="9"/>
      <c r="C149" s="1" t="s">
        <v>36</v>
      </c>
      <c r="D149" s="9" t="s">
        <v>110</v>
      </c>
      <c r="E149" s="2">
        <v>33</v>
      </c>
      <c r="F149" s="2">
        <v>8</v>
      </c>
      <c r="G149" s="2">
        <v>11</v>
      </c>
      <c r="H149" s="2">
        <v>7</v>
      </c>
      <c r="I149" s="2">
        <v>1</v>
      </c>
      <c r="J149" s="2">
        <v>0</v>
      </c>
      <c r="K149" s="2">
        <v>3</v>
      </c>
      <c r="L149" s="2">
        <v>8</v>
      </c>
      <c r="M149" s="2">
        <v>0</v>
      </c>
      <c r="N149" s="2">
        <v>0</v>
      </c>
      <c r="O149" s="2">
        <v>2</v>
      </c>
      <c r="P149" s="2">
        <v>4</v>
      </c>
      <c r="Q149" s="2">
        <v>0</v>
      </c>
      <c r="R149" s="3">
        <v>0</v>
      </c>
    </row>
    <row r="150" spans="1:18" x14ac:dyDescent="0.25">
      <c r="A150" s="8">
        <v>44697</v>
      </c>
      <c r="B150" s="9"/>
      <c r="C150" s="1" t="s">
        <v>36</v>
      </c>
      <c r="D150" s="9" t="s">
        <v>130</v>
      </c>
      <c r="E150" s="2">
        <v>31</v>
      </c>
      <c r="F150" s="2">
        <v>2</v>
      </c>
      <c r="G150" s="2">
        <v>7</v>
      </c>
      <c r="H150" s="2">
        <v>4</v>
      </c>
      <c r="I150" s="2">
        <v>2</v>
      </c>
      <c r="J150" s="2">
        <v>0</v>
      </c>
      <c r="K150" s="2">
        <v>1</v>
      </c>
      <c r="L150" s="2">
        <v>2</v>
      </c>
      <c r="M150" s="2">
        <v>0</v>
      </c>
      <c r="N150" s="2">
        <v>1</v>
      </c>
      <c r="O150" s="2">
        <v>2</v>
      </c>
      <c r="P150" s="2">
        <v>6</v>
      </c>
      <c r="Q150" s="2">
        <v>0</v>
      </c>
      <c r="R150" s="3">
        <v>0</v>
      </c>
    </row>
    <row r="151" spans="1:18" x14ac:dyDescent="0.25">
      <c r="A151" s="8">
        <v>44696</v>
      </c>
      <c r="B151" s="9"/>
      <c r="C151" s="1" t="s">
        <v>18</v>
      </c>
      <c r="D151" s="9" t="s">
        <v>85</v>
      </c>
      <c r="E151" s="2">
        <v>31</v>
      </c>
      <c r="F151" s="2">
        <v>3</v>
      </c>
      <c r="G151" s="2">
        <v>6</v>
      </c>
      <c r="H151" s="2">
        <v>5</v>
      </c>
      <c r="I151" s="2">
        <v>1</v>
      </c>
      <c r="J151" s="2">
        <v>0</v>
      </c>
      <c r="K151" s="2">
        <v>0</v>
      </c>
      <c r="L151" s="2">
        <v>1</v>
      </c>
      <c r="M151" s="2">
        <v>1</v>
      </c>
      <c r="N151" s="2">
        <v>1</v>
      </c>
      <c r="O151" s="2">
        <v>0</v>
      </c>
      <c r="P151" s="2">
        <v>8</v>
      </c>
      <c r="Q151" s="2">
        <v>1</v>
      </c>
      <c r="R151" s="3">
        <v>0</v>
      </c>
    </row>
    <row r="152" spans="1:18" x14ac:dyDescent="0.25">
      <c r="A152" s="8">
        <v>44695</v>
      </c>
      <c r="B152" s="9"/>
      <c r="C152" s="1" t="s">
        <v>18</v>
      </c>
      <c r="D152" s="9" t="s">
        <v>99</v>
      </c>
      <c r="E152" s="2">
        <v>32</v>
      </c>
      <c r="F152" s="2">
        <v>1</v>
      </c>
      <c r="G152" s="2">
        <v>6</v>
      </c>
      <c r="H152" s="2">
        <v>4</v>
      </c>
      <c r="I152" s="2">
        <v>1</v>
      </c>
      <c r="J152" s="2">
        <v>0</v>
      </c>
      <c r="K152" s="2">
        <v>1</v>
      </c>
      <c r="L152" s="2">
        <v>1</v>
      </c>
      <c r="M152" s="2">
        <v>0</v>
      </c>
      <c r="N152" s="2">
        <v>0</v>
      </c>
      <c r="O152" s="2">
        <v>2</v>
      </c>
      <c r="P152" s="2">
        <v>7</v>
      </c>
      <c r="Q152" s="2">
        <v>1</v>
      </c>
      <c r="R152" s="3">
        <v>0</v>
      </c>
    </row>
    <row r="153" spans="1:18" x14ac:dyDescent="0.25">
      <c r="A153" s="8">
        <v>44694</v>
      </c>
      <c r="B153" s="9"/>
      <c r="C153" s="1" t="s">
        <v>18</v>
      </c>
      <c r="D153" s="9" t="s">
        <v>76</v>
      </c>
      <c r="E153" s="2">
        <v>31</v>
      </c>
      <c r="F153" s="2">
        <v>5</v>
      </c>
      <c r="G153" s="2">
        <v>7</v>
      </c>
      <c r="H153" s="2">
        <v>4</v>
      </c>
      <c r="I153" s="2">
        <v>1</v>
      </c>
      <c r="J153" s="2">
        <v>2</v>
      </c>
      <c r="K153" s="2">
        <v>0</v>
      </c>
      <c r="L153" s="2">
        <v>5</v>
      </c>
      <c r="M153" s="2">
        <v>1</v>
      </c>
      <c r="N153" s="2">
        <v>0</v>
      </c>
      <c r="O153" s="2">
        <v>2</v>
      </c>
      <c r="P153" s="2">
        <v>9</v>
      </c>
      <c r="Q153" s="2">
        <v>0</v>
      </c>
      <c r="R153" s="3">
        <v>0</v>
      </c>
    </row>
    <row r="154" spans="1:18" x14ac:dyDescent="0.25">
      <c r="A154" s="8">
        <v>44692</v>
      </c>
      <c r="B154" s="9" t="s">
        <v>68</v>
      </c>
      <c r="C154" s="1" t="s">
        <v>33</v>
      </c>
      <c r="D154" s="9" t="s">
        <v>159</v>
      </c>
      <c r="E154" s="2">
        <v>34</v>
      </c>
      <c r="F154" s="2">
        <v>4</v>
      </c>
      <c r="G154" s="2">
        <v>5</v>
      </c>
      <c r="H154" s="2">
        <v>3</v>
      </c>
      <c r="I154" s="2">
        <v>1</v>
      </c>
      <c r="J154" s="2">
        <v>0</v>
      </c>
      <c r="K154" s="2">
        <v>1</v>
      </c>
      <c r="L154" s="2">
        <v>4</v>
      </c>
      <c r="M154" s="2">
        <v>3</v>
      </c>
      <c r="N154" s="2">
        <v>0</v>
      </c>
      <c r="O154" s="2">
        <v>3</v>
      </c>
      <c r="P154" s="2">
        <v>10</v>
      </c>
      <c r="Q154" s="2">
        <v>0</v>
      </c>
      <c r="R154" s="3">
        <v>0</v>
      </c>
    </row>
    <row r="155" spans="1:18" x14ac:dyDescent="0.25">
      <c r="A155" s="8">
        <v>44691</v>
      </c>
      <c r="B155" s="9" t="s">
        <v>68</v>
      </c>
      <c r="C155" s="1" t="s">
        <v>33</v>
      </c>
      <c r="D155" s="9" t="s">
        <v>162</v>
      </c>
      <c r="E155" s="2">
        <v>27</v>
      </c>
      <c r="F155" s="2">
        <v>0</v>
      </c>
      <c r="G155" s="2">
        <v>0</v>
      </c>
      <c r="H155" s="2">
        <v>0</v>
      </c>
      <c r="I155" s="2">
        <v>0</v>
      </c>
      <c r="J155" s="2">
        <v>0</v>
      </c>
      <c r="K155" s="2">
        <v>0</v>
      </c>
      <c r="L155" s="2">
        <v>0</v>
      </c>
      <c r="M155" s="2">
        <v>0</v>
      </c>
      <c r="N155" s="2">
        <v>0</v>
      </c>
      <c r="O155" s="2">
        <v>1</v>
      </c>
      <c r="P155" s="2">
        <v>2</v>
      </c>
      <c r="Q155" s="2">
        <v>0</v>
      </c>
      <c r="R155" s="3">
        <v>0</v>
      </c>
    </row>
    <row r="156" spans="1:18" x14ac:dyDescent="0.25">
      <c r="A156" s="8">
        <v>44690</v>
      </c>
      <c r="B156" s="9" t="s">
        <v>68</v>
      </c>
      <c r="C156" s="1" t="s">
        <v>33</v>
      </c>
      <c r="D156" s="9" t="s">
        <v>163</v>
      </c>
      <c r="E156" s="2">
        <v>38</v>
      </c>
      <c r="F156" s="2">
        <v>3</v>
      </c>
      <c r="G156" s="2">
        <v>10</v>
      </c>
      <c r="H156" s="2">
        <v>7</v>
      </c>
      <c r="I156" s="2">
        <v>2</v>
      </c>
      <c r="J156" s="2">
        <v>0</v>
      </c>
      <c r="K156" s="2">
        <v>1</v>
      </c>
      <c r="L156" s="2">
        <v>2</v>
      </c>
      <c r="M156" s="2">
        <v>3</v>
      </c>
      <c r="N156" s="2">
        <v>0</v>
      </c>
      <c r="O156" s="2">
        <v>2</v>
      </c>
      <c r="P156" s="2">
        <v>13</v>
      </c>
      <c r="Q156" s="2">
        <v>0</v>
      </c>
      <c r="R156" s="3">
        <v>0</v>
      </c>
    </row>
    <row r="157" spans="1:18" x14ac:dyDescent="0.25">
      <c r="A157" s="8">
        <v>44689</v>
      </c>
      <c r="B157" s="9" t="s">
        <v>68</v>
      </c>
      <c r="C157" s="1" t="s">
        <v>22</v>
      </c>
      <c r="D157" s="9" t="s">
        <v>125</v>
      </c>
      <c r="E157" s="2">
        <v>33</v>
      </c>
      <c r="F157" s="2">
        <v>1</v>
      </c>
      <c r="G157" s="2">
        <v>5</v>
      </c>
      <c r="H157" s="2">
        <v>4</v>
      </c>
      <c r="I157" s="2">
        <v>0</v>
      </c>
      <c r="J157" s="2">
        <v>0</v>
      </c>
      <c r="K157" s="2">
        <v>1</v>
      </c>
      <c r="L157" s="2">
        <v>1</v>
      </c>
      <c r="M157" s="2">
        <v>1</v>
      </c>
      <c r="N157" s="2">
        <v>2</v>
      </c>
      <c r="O157" s="2">
        <v>2</v>
      </c>
      <c r="P157" s="2">
        <v>14</v>
      </c>
      <c r="Q157" s="2">
        <v>0</v>
      </c>
      <c r="R157" s="3">
        <v>1</v>
      </c>
    </row>
    <row r="158" spans="1:18" x14ac:dyDescent="0.25">
      <c r="A158" s="8">
        <v>44688</v>
      </c>
      <c r="B158" s="9" t="s">
        <v>68</v>
      </c>
      <c r="C158" s="1" t="s">
        <v>22</v>
      </c>
      <c r="D158" s="9" t="s">
        <v>144</v>
      </c>
      <c r="E158" s="2">
        <v>35</v>
      </c>
      <c r="F158" s="2">
        <v>8</v>
      </c>
      <c r="G158" s="2">
        <v>10</v>
      </c>
      <c r="H158" s="2">
        <v>6</v>
      </c>
      <c r="I158" s="2">
        <v>1</v>
      </c>
      <c r="J158" s="2">
        <v>0</v>
      </c>
      <c r="K158" s="2">
        <v>3</v>
      </c>
      <c r="L158" s="2">
        <v>7</v>
      </c>
      <c r="M158" s="2">
        <v>1</v>
      </c>
      <c r="N158" s="2">
        <v>0</v>
      </c>
      <c r="O158" s="2">
        <v>6</v>
      </c>
      <c r="P158" s="2">
        <v>5</v>
      </c>
      <c r="Q158" s="2">
        <v>0</v>
      </c>
      <c r="R158" s="3">
        <v>0</v>
      </c>
    </row>
    <row r="159" spans="1:18" x14ac:dyDescent="0.25">
      <c r="A159" s="8">
        <v>44687</v>
      </c>
      <c r="B159" s="9" t="s">
        <v>68</v>
      </c>
      <c r="C159" s="1" t="s">
        <v>22</v>
      </c>
      <c r="D159" s="9" t="s">
        <v>121</v>
      </c>
      <c r="E159" s="2">
        <v>38</v>
      </c>
      <c r="F159" s="2">
        <v>8</v>
      </c>
      <c r="G159" s="2">
        <v>13</v>
      </c>
      <c r="H159" s="2">
        <v>10</v>
      </c>
      <c r="I159" s="2">
        <v>2</v>
      </c>
      <c r="J159" s="2">
        <v>0</v>
      </c>
      <c r="K159" s="2">
        <v>1</v>
      </c>
      <c r="L159" s="2">
        <v>7</v>
      </c>
      <c r="M159" s="2">
        <v>0</v>
      </c>
      <c r="N159" s="2">
        <v>1</v>
      </c>
      <c r="O159" s="2">
        <v>4</v>
      </c>
      <c r="P159" s="2">
        <v>10</v>
      </c>
      <c r="Q159" s="2">
        <v>1</v>
      </c>
      <c r="R159" s="3">
        <v>0</v>
      </c>
    </row>
    <row r="160" spans="1:18" x14ac:dyDescent="0.25">
      <c r="A160" s="8">
        <v>44686</v>
      </c>
      <c r="B160" s="9" t="s">
        <v>68</v>
      </c>
      <c r="C160" s="1" t="s">
        <v>22</v>
      </c>
      <c r="D160" s="9" t="s">
        <v>79</v>
      </c>
      <c r="E160" s="2">
        <v>34</v>
      </c>
      <c r="F160" s="2">
        <v>4</v>
      </c>
      <c r="G160" s="2">
        <v>7</v>
      </c>
      <c r="H160" s="2">
        <v>6</v>
      </c>
      <c r="I160" s="2">
        <v>0</v>
      </c>
      <c r="J160" s="2">
        <v>0</v>
      </c>
      <c r="K160" s="2">
        <v>1</v>
      </c>
      <c r="L160" s="2">
        <v>4</v>
      </c>
      <c r="M160" s="2">
        <v>2</v>
      </c>
      <c r="N160" s="2">
        <v>0</v>
      </c>
      <c r="O160" s="2">
        <v>1</v>
      </c>
      <c r="P160" s="2">
        <v>8</v>
      </c>
      <c r="Q160" s="2">
        <v>0</v>
      </c>
      <c r="R160" s="3">
        <v>0</v>
      </c>
    </row>
    <row r="161" spans="1:18" x14ac:dyDescent="0.25">
      <c r="A161" s="8">
        <v>44685</v>
      </c>
      <c r="B161" s="9" t="s">
        <v>68</v>
      </c>
      <c r="C161" s="1" t="s">
        <v>26</v>
      </c>
      <c r="D161" s="9" t="s">
        <v>85</v>
      </c>
      <c r="E161" s="2">
        <v>33</v>
      </c>
      <c r="F161" s="2">
        <v>3</v>
      </c>
      <c r="G161" s="2">
        <v>6</v>
      </c>
      <c r="H161" s="2">
        <v>4</v>
      </c>
      <c r="I161" s="2">
        <v>2</v>
      </c>
      <c r="J161" s="2">
        <v>0</v>
      </c>
      <c r="K161" s="2">
        <v>0</v>
      </c>
      <c r="L161" s="2">
        <v>2</v>
      </c>
      <c r="M161" s="2">
        <v>1</v>
      </c>
      <c r="N161" s="2">
        <v>0</v>
      </c>
      <c r="O161" s="2">
        <v>3</v>
      </c>
      <c r="P161" s="2">
        <v>7</v>
      </c>
      <c r="Q161" s="2">
        <v>2</v>
      </c>
      <c r="R161" s="3">
        <v>0</v>
      </c>
    </row>
    <row r="162" spans="1:18" x14ac:dyDescent="0.25">
      <c r="A162" s="8">
        <v>44684</v>
      </c>
      <c r="B162" s="9" t="s">
        <v>68</v>
      </c>
      <c r="C162" s="1" t="s">
        <v>26</v>
      </c>
      <c r="D162" s="9" t="s">
        <v>164</v>
      </c>
      <c r="E162" s="2">
        <v>42</v>
      </c>
      <c r="F162" s="2">
        <v>10</v>
      </c>
      <c r="G162" s="2">
        <v>14</v>
      </c>
      <c r="H162" s="2">
        <v>6</v>
      </c>
      <c r="I162" s="2">
        <v>4</v>
      </c>
      <c r="J162" s="2">
        <v>2</v>
      </c>
      <c r="K162" s="2">
        <v>2</v>
      </c>
      <c r="L162" s="2">
        <v>10</v>
      </c>
      <c r="M162" s="2">
        <v>0</v>
      </c>
      <c r="N162" s="2">
        <v>1</v>
      </c>
      <c r="O162" s="2">
        <v>3</v>
      </c>
      <c r="P162" s="2">
        <v>8</v>
      </c>
      <c r="Q162" s="2">
        <v>0</v>
      </c>
      <c r="R162" s="3">
        <v>1</v>
      </c>
    </row>
    <row r="163" spans="1:18" x14ac:dyDescent="0.25">
      <c r="A163" s="8">
        <v>44683</v>
      </c>
      <c r="B163" s="9" t="s">
        <v>68</v>
      </c>
      <c r="C163" s="1" t="s">
        <v>26</v>
      </c>
      <c r="D163" s="9" t="s">
        <v>74</v>
      </c>
      <c r="E163" s="2">
        <v>39</v>
      </c>
      <c r="F163" s="2">
        <v>6</v>
      </c>
      <c r="G163" s="2">
        <v>12</v>
      </c>
      <c r="H163" s="2">
        <v>9</v>
      </c>
      <c r="I163" s="2">
        <v>2</v>
      </c>
      <c r="J163" s="2">
        <v>0</v>
      </c>
      <c r="K163" s="2">
        <v>1</v>
      </c>
      <c r="L163" s="2">
        <v>5</v>
      </c>
      <c r="M163" s="2">
        <v>0</v>
      </c>
      <c r="N163" s="2">
        <v>0</v>
      </c>
      <c r="O163" s="2">
        <v>0</v>
      </c>
      <c r="P163" s="2">
        <v>8</v>
      </c>
      <c r="Q163" s="2">
        <v>0</v>
      </c>
      <c r="R163" s="3">
        <v>0</v>
      </c>
    </row>
    <row r="164" spans="1:18" x14ac:dyDescent="0.25">
      <c r="A164" s="8">
        <v>44682</v>
      </c>
      <c r="B164" s="9"/>
      <c r="C164" s="1" t="s">
        <v>29</v>
      </c>
      <c r="D164" s="9" t="s">
        <v>165</v>
      </c>
      <c r="E164" s="2">
        <v>34</v>
      </c>
      <c r="F164" s="2">
        <v>3</v>
      </c>
      <c r="G164" s="2">
        <v>8</v>
      </c>
      <c r="H164" s="2">
        <v>3</v>
      </c>
      <c r="I164" s="2">
        <v>5</v>
      </c>
      <c r="J164" s="2">
        <v>0</v>
      </c>
      <c r="K164" s="2">
        <v>0</v>
      </c>
      <c r="L164" s="2">
        <v>3</v>
      </c>
      <c r="M164" s="2">
        <v>0</v>
      </c>
      <c r="N164" s="2">
        <v>0</v>
      </c>
      <c r="O164" s="2">
        <v>1</v>
      </c>
      <c r="P164" s="2">
        <v>10</v>
      </c>
      <c r="Q164" s="2">
        <v>0</v>
      </c>
      <c r="R164" s="3">
        <v>0</v>
      </c>
    </row>
    <row r="165" spans="1:18" x14ac:dyDescent="0.25">
      <c r="A165" s="8">
        <v>44681</v>
      </c>
      <c r="B165" s="9"/>
      <c r="C165" s="1" t="s">
        <v>29</v>
      </c>
      <c r="D165" s="9" t="s">
        <v>147</v>
      </c>
      <c r="E165" s="2">
        <v>31</v>
      </c>
      <c r="F165" s="2">
        <v>1</v>
      </c>
      <c r="G165" s="2">
        <v>4</v>
      </c>
      <c r="H165" s="2">
        <v>2</v>
      </c>
      <c r="I165" s="2">
        <v>1</v>
      </c>
      <c r="J165" s="2">
        <v>0</v>
      </c>
      <c r="K165" s="2">
        <v>1</v>
      </c>
      <c r="L165" s="2">
        <v>1</v>
      </c>
      <c r="M165" s="2">
        <v>0</v>
      </c>
      <c r="N165" s="2">
        <v>0</v>
      </c>
      <c r="O165" s="2">
        <v>3</v>
      </c>
      <c r="P165" s="2">
        <v>11</v>
      </c>
      <c r="Q165" s="2">
        <v>0</v>
      </c>
      <c r="R165" s="3">
        <v>0</v>
      </c>
    </row>
    <row r="166" spans="1:18" x14ac:dyDescent="0.25">
      <c r="A166" s="8">
        <v>44680</v>
      </c>
      <c r="B166" s="9"/>
      <c r="C166" s="1" t="s">
        <v>29</v>
      </c>
      <c r="D166" s="9" t="s">
        <v>74</v>
      </c>
      <c r="E166" s="2">
        <v>31</v>
      </c>
      <c r="F166" s="2">
        <v>6</v>
      </c>
      <c r="G166" s="2">
        <v>8</v>
      </c>
      <c r="H166" s="2">
        <v>4</v>
      </c>
      <c r="I166" s="2">
        <v>2</v>
      </c>
      <c r="J166" s="2">
        <v>0</v>
      </c>
      <c r="K166" s="2">
        <v>2</v>
      </c>
      <c r="L166" s="2">
        <v>6</v>
      </c>
      <c r="M166" s="2">
        <v>4</v>
      </c>
      <c r="N166" s="2">
        <v>0</v>
      </c>
      <c r="O166" s="2">
        <v>3</v>
      </c>
      <c r="P166" s="2">
        <v>9</v>
      </c>
      <c r="Q166" s="2">
        <v>0</v>
      </c>
      <c r="R166" s="3">
        <v>0</v>
      </c>
    </row>
    <row r="167" spans="1:18" x14ac:dyDescent="0.25">
      <c r="A167" s="8">
        <v>44679</v>
      </c>
      <c r="B167" s="9"/>
      <c r="C167" s="1" t="s">
        <v>22</v>
      </c>
      <c r="D167" s="9" t="s">
        <v>86</v>
      </c>
      <c r="E167" s="2">
        <v>27</v>
      </c>
      <c r="F167" s="2">
        <v>2</v>
      </c>
      <c r="G167" s="2">
        <v>7</v>
      </c>
      <c r="H167" s="2">
        <v>7</v>
      </c>
      <c r="I167" s="2">
        <v>0</v>
      </c>
      <c r="J167" s="2">
        <v>0</v>
      </c>
      <c r="K167" s="2">
        <v>0</v>
      </c>
      <c r="L167" s="2">
        <v>2</v>
      </c>
      <c r="M167" s="2">
        <v>2</v>
      </c>
      <c r="N167" s="2">
        <v>1</v>
      </c>
      <c r="O167" s="2">
        <v>5</v>
      </c>
      <c r="P167" s="2">
        <v>5</v>
      </c>
      <c r="Q167" s="2">
        <v>0</v>
      </c>
      <c r="R167" s="3">
        <v>0</v>
      </c>
    </row>
    <row r="168" spans="1:18" x14ac:dyDescent="0.25">
      <c r="A168" s="8">
        <v>44678</v>
      </c>
      <c r="B168" s="9"/>
      <c r="C168" s="1" t="s">
        <v>22</v>
      </c>
      <c r="D168" s="9" t="s">
        <v>83</v>
      </c>
      <c r="E168" s="2">
        <v>30</v>
      </c>
      <c r="F168" s="2">
        <v>3</v>
      </c>
      <c r="G168" s="2">
        <v>7</v>
      </c>
      <c r="H168" s="2">
        <v>6</v>
      </c>
      <c r="I168" s="2">
        <v>0</v>
      </c>
      <c r="J168" s="2">
        <v>0</v>
      </c>
      <c r="K168" s="2">
        <v>1</v>
      </c>
      <c r="L168" s="2">
        <v>3</v>
      </c>
      <c r="M168" s="2">
        <v>1</v>
      </c>
      <c r="N168" s="2">
        <v>0</v>
      </c>
      <c r="O168" s="2">
        <v>3</v>
      </c>
      <c r="P168" s="2">
        <v>7</v>
      </c>
      <c r="Q168" s="2">
        <v>1</v>
      </c>
      <c r="R168" s="3">
        <v>0</v>
      </c>
    </row>
    <row r="169" spans="1:18" x14ac:dyDescent="0.25">
      <c r="A169" s="8">
        <v>44677</v>
      </c>
      <c r="B169" s="9"/>
      <c r="C169" s="1" t="s">
        <v>22</v>
      </c>
      <c r="D169" s="9" t="s">
        <v>90</v>
      </c>
      <c r="E169" s="2">
        <v>35</v>
      </c>
      <c r="F169" s="2">
        <v>4</v>
      </c>
      <c r="G169" s="2">
        <v>9</v>
      </c>
      <c r="H169" s="2">
        <v>7</v>
      </c>
      <c r="I169" s="2">
        <v>0</v>
      </c>
      <c r="J169" s="2">
        <v>0</v>
      </c>
      <c r="K169" s="2">
        <v>2</v>
      </c>
      <c r="L169" s="2">
        <v>4</v>
      </c>
      <c r="M169" s="2">
        <v>0</v>
      </c>
      <c r="N169" s="2">
        <v>0</v>
      </c>
      <c r="O169" s="2">
        <v>5</v>
      </c>
      <c r="P169" s="2">
        <v>12</v>
      </c>
      <c r="Q169" s="2">
        <v>0</v>
      </c>
      <c r="R169" s="3">
        <v>0</v>
      </c>
    </row>
    <row r="170" spans="1:18" x14ac:dyDescent="0.25">
      <c r="A170" s="8">
        <v>44675</v>
      </c>
      <c r="B170" s="9"/>
      <c r="C170" s="1" t="s">
        <v>42</v>
      </c>
      <c r="D170" s="9" t="s">
        <v>76</v>
      </c>
      <c r="E170" s="2">
        <v>30</v>
      </c>
      <c r="F170" s="2">
        <v>5</v>
      </c>
      <c r="G170" s="2">
        <v>9</v>
      </c>
      <c r="H170" s="2">
        <v>6</v>
      </c>
      <c r="I170" s="2">
        <v>2</v>
      </c>
      <c r="J170" s="2">
        <v>0</v>
      </c>
      <c r="K170" s="2">
        <v>1</v>
      </c>
      <c r="L170" s="2">
        <v>4</v>
      </c>
      <c r="M170" s="2">
        <v>0</v>
      </c>
      <c r="N170" s="2">
        <v>1</v>
      </c>
      <c r="O170" s="2">
        <v>4</v>
      </c>
      <c r="P170" s="2">
        <v>3</v>
      </c>
      <c r="Q170" s="2">
        <v>3</v>
      </c>
      <c r="R170" s="3">
        <v>0</v>
      </c>
    </row>
    <row r="171" spans="1:18" x14ac:dyDescent="0.25">
      <c r="A171" s="8">
        <v>44674</v>
      </c>
      <c r="B171" s="9"/>
      <c r="C171" s="1" t="s">
        <v>42</v>
      </c>
      <c r="D171" s="9" t="s">
        <v>166</v>
      </c>
      <c r="E171" s="2">
        <v>32</v>
      </c>
      <c r="F171" s="2">
        <v>3</v>
      </c>
      <c r="G171" s="2">
        <v>3</v>
      </c>
      <c r="H171" s="2">
        <v>1</v>
      </c>
      <c r="I171" s="2">
        <v>1</v>
      </c>
      <c r="J171" s="2">
        <v>0</v>
      </c>
      <c r="K171" s="2">
        <v>1</v>
      </c>
      <c r="L171" s="2">
        <v>2</v>
      </c>
      <c r="M171" s="2">
        <v>1</v>
      </c>
      <c r="N171" s="2">
        <v>0</v>
      </c>
      <c r="O171" s="2">
        <v>2</v>
      </c>
      <c r="P171" s="2">
        <v>14</v>
      </c>
      <c r="Q171" s="2">
        <v>0</v>
      </c>
      <c r="R171" s="3">
        <v>0</v>
      </c>
    </row>
    <row r="172" spans="1:18" x14ac:dyDescent="0.25">
      <c r="A172" s="8">
        <v>44673</v>
      </c>
      <c r="B172" s="9"/>
      <c r="C172" s="1" t="s">
        <v>42</v>
      </c>
      <c r="D172" s="9" t="s">
        <v>92</v>
      </c>
      <c r="E172" s="2">
        <v>33</v>
      </c>
      <c r="F172" s="2">
        <v>3</v>
      </c>
      <c r="G172" s="2">
        <v>6</v>
      </c>
      <c r="H172" s="2">
        <v>4</v>
      </c>
      <c r="I172" s="2">
        <v>0</v>
      </c>
      <c r="J172" s="2">
        <v>0</v>
      </c>
      <c r="K172" s="2">
        <v>2</v>
      </c>
      <c r="L172" s="2">
        <v>3</v>
      </c>
      <c r="M172" s="2">
        <v>0</v>
      </c>
      <c r="N172" s="2">
        <v>0</v>
      </c>
      <c r="O172" s="2">
        <v>5</v>
      </c>
      <c r="P172" s="2">
        <v>7</v>
      </c>
      <c r="Q172" s="2">
        <v>0</v>
      </c>
      <c r="R172" s="3">
        <v>0</v>
      </c>
    </row>
    <row r="173" spans="1:18" x14ac:dyDescent="0.25">
      <c r="A173" s="8">
        <v>44671</v>
      </c>
      <c r="B173" s="9" t="s">
        <v>68</v>
      </c>
      <c r="C173" s="1" t="s">
        <v>41</v>
      </c>
      <c r="D173" s="9" t="s">
        <v>167</v>
      </c>
      <c r="E173" s="2">
        <v>28</v>
      </c>
      <c r="F173" s="2">
        <v>8</v>
      </c>
      <c r="G173" s="2">
        <v>9</v>
      </c>
      <c r="H173" s="2">
        <v>2</v>
      </c>
      <c r="I173" s="2">
        <v>5</v>
      </c>
      <c r="J173" s="2">
        <v>1</v>
      </c>
      <c r="K173" s="2">
        <v>1</v>
      </c>
      <c r="L173" s="2">
        <v>7</v>
      </c>
      <c r="M173" s="2">
        <v>2</v>
      </c>
      <c r="N173" s="2">
        <v>0</v>
      </c>
      <c r="O173" s="2">
        <v>2</v>
      </c>
      <c r="P173" s="2">
        <v>10</v>
      </c>
      <c r="Q173" s="2">
        <v>0</v>
      </c>
      <c r="R173" s="3">
        <v>0</v>
      </c>
    </row>
    <row r="174" spans="1:18" x14ac:dyDescent="0.25">
      <c r="A174" s="8">
        <v>44670</v>
      </c>
      <c r="B174" s="9" t="s">
        <v>68</v>
      </c>
      <c r="C174" s="1" t="s">
        <v>41</v>
      </c>
      <c r="D174" s="9" t="s">
        <v>71</v>
      </c>
      <c r="E174" s="2">
        <v>35</v>
      </c>
      <c r="F174" s="2">
        <v>6</v>
      </c>
      <c r="G174" s="2">
        <v>10</v>
      </c>
      <c r="H174" s="2">
        <v>5</v>
      </c>
      <c r="I174" s="2">
        <v>3</v>
      </c>
      <c r="J174" s="2">
        <v>1</v>
      </c>
      <c r="K174" s="2">
        <v>1</v>
      </c>
      <c r="L174" s="2">
        <v>6</v>
      </c>
      <c r="M174" s="2">
        <v>0</v>
      </c>
      <c r="N174" s="2">
        <v>0</v>
      </c>
      <c r="O174" s="2">
        <v>4</v>
      </c>
      <c r="P174" s="2">
        <v>6</v>
      </c>
      <c r="Q174" s="2">
        <v>0</v>
      </c>
      <c r="R174" s="3">
        <v>0</v>
      </c>
    </row>
    <row r="175" spans="1:18" x14ac:dyDescent="0.25">
      <c r="A175" s="8">
        <v>44669</v>
      </c>
      <c r="B175" s="9" t="s">
        <v>68</v>
      </c>
      <c r="C175" s="1" t="s">
        <v>41</v>
      </c>
      <c r="D175" s="9" t="s">
        <v>95</v>
      </c>
      <c r="E175" s="2">
        <v>31</v>
      </c>
      <c r="F175" s="2">
        <v>2</v>
      </c>
      <c r="G175" s="2">
        <v>6</v>
      </c>
      <c r="H175" s="2">
        <v>6</v>
      </c>
      <c r="I175" s="2">
        <v>0</v>
      </c>
      <c r="J175" s="2">
        <v>0</v>
      </c>
      <c r="K175" s="2">
        <v>0</v>
      </c>
      <c r="L175" s="2">
        <v>2</v>
      </c>
      <c r="M175" s="2">
        <v>2</v>
      </c>
      <c r="N175" s="2">
        <v>1</v>
      </c>
      <c r="O175" s="2">
        <v>4</v>
      </c>
      <c r="P175" s="2">
        <v>12</v>
      </c>
      <c r="Q175" s="2">
        <v>0</v>
      </c>
      <c r="R175" s="3">
        <v>0</v>
      </c>
    </row>
    <row r="176" spans="1:18" x14ac:dyDescent="0.25">
      <c r="A176" s="8">
        <v>44668</v>
      </c>
      <c r="B176" s="9" t="s">
        <v>68</v>
      </c>
      <c r="C176" s="1" t="s">
        <v>40</v>
      </c>
      <c r="D176" s="9" t="s">
        <v>112</v>
      </c>
      <c r="E176" s="2">
        <v>39</v>
      </c>
      <c r="F176" s="2">
        <v>9</v>
      </c>
      <c r="G176" s="2">
        <v>12</v>
      </c>
      <c r="H176" s="2">
        <v>8</v>
      </c>
      <c r="I176" s="2">
        <v>4</v>
      </c>
      <c r="J176" s="2">
        <v>0</v>
      </c>
      <c r="K176" s="2">
        <v>0</v>
      </c>
      <c r="L176" s="2">
        <v>8</v>
      </c>
      <c r="M176" s="2">
        <v>0</v>
      </c>
      <c r="N176" s="2">
        <v>0</v>
      </c>
      <c r="O176" s="2">
        <v>5</v>
      </c>
      <c r="P176" s="2">
        <v>8</v>
      </c>
      <c r="Q176" s="2">
        <v>1</v>
      </c>
      <c r="R176" s="3">
        <v>0</v>
      </c>
    </row>
    <row r="177" spans="1:18" x14ac:dyDescent="0.25">
      <c r="A177" s="8">
        <v>44667</v>
      </c>
      <c r="B177" s="9" t="s">
        <v>68</v>
      </c>
      <c r="C177" s="1" t="s">
        <v>40</v>
      </c>
      <c r="D177" s="9" t="s">
        <v>130</v>
      </c>
      <c r="E177" s="2">
        <v>30</v>
      </c>
      <c r="F177" s="2">
        <v>2</v>
      </c>
      <c r="G177" s="2">
        <v>5</v>
      </c>
      <c r="H177" s="2">
        <v>4</v>
      </c>
      <c r="I177" s="2">
        <v>1</v>
      </c>
      <c r="J177" s="2">
        <v>0</v>
      </c>
      <c r="K177" s="2">
        <v>0</v>
      </c>
      <c r="L177" s="2">
        <v>2</v>
      </c>
      <c r="M177" s="2">
        <v>2</v>
      </c>
      <c r="N177" s="2">
        <v>0</v>
      </c>
      <c r="O177" s="2">
        <v>4</v>
      </c>
      <c r="P177" s="2">
        <v>12</v>
      </c>
      <c r="Q177" s="2">
        <v>1</v>
      </c>
      <c r="R177" s="3">
        <v>1</v>
      </c>
    </row>
    <row r="178" spans="1:18" x14ac:dyDescent="0.25">
      <c r="A178" s="8">
        <v>44666</v>
      </c>
      <c r="B178" s="9" t="s">
        <v>68</v>
      </c>
      <c r="C178" s="1" t="s">
        <v>40</v>
      </c>
      <c r="D178" s="9" t="s">
        <v>130</v>
      </c>
      <c r="E178" s="2">
        <v>32</v>
      </c>
      <c r="F178" s="2">
        <v>2</v>
      </c>
      <c r="G178" s="2">
        <v>6</v>
      </c>
      <c r="H178" s="2">
        <v>4</v>
      </c>
      <c r="I178" s="2">
        <v>2</v>
      </c>
      <c r="J178" s="2">
        <v>0</v>
      </c>
      <c r="K178" s="2">
        <v>0</v>
      </c>
      <c r="L178" s="2">
        <v>2</v>
      </c>
      <c r="M178" s="2">
        <v>1</v>
      </c>
      <c r="N178" s="2">
        <v>0</v>
      </c>
      <c r="O178" s="2">
        <v>2</v>
      </c>
      <c r="P178" s="2">
        <v>13</v>
      </c>
      <c r="Q178" s="2">
        <v>0</v>
      </c>
      <c r="R178" s="3">
        <v>0</v>
      </c>
    </row>
    <row r="179" spans="1:18" x14ac:dyDescent="0.25">
      <c r="A179" s="8">
        <v>44665</v>
      </c>
      <c r="B179" s="9"/>
      <c r="C179" s="1" t="s">
        <v>26</v>
      </c>
      <c r="D179" s="9" t="s">
        <v>111</v>
      </c>
      <c r="E179" s="2">
        <v>33</v>
      </c>
      <c r="F179" s="2">
        <v>3</v>
      </c>
      <c r="G179" s="2">
        <v>7</v>
      </c>
      <c r="H179" s="2">
        <v>4</v>
      </c>
      <c r="I179" s="2">
        <v>2</v>
      </c>
      <c r="J179" s="2">
        <v>0</v>
      </c>
      <c r="K179" s="2">
        <v>1</v>
      </c>
      <c r="L179" s="2">
        <v>3</v>
      </c>
      <c r="M179" s="2">
        <v>0</v>
      </c>
      <c r="N179" s="2">
        <v>0</v>
      </c>
      <c r="O179" s="2">
        <v>0</v>
      </c>
      <c r="P179" s="2">
        <v>4</v>
      </c>
      <c r="Q179" s="2">
        <v>0</v>
      </c>
      <c r="R179" s="3">
        <v>0</v>
      </c>
    </row>
    <row r="180" spans="1:18" x14ac:dyDescent="0.25">
      <c r="A180" s="8">
        <v>44664</v>
      </c>
      <c r="B180" s="9"/>
      <c r="C180" s="1" t="s">
        <v>26</v>
      </c>
      <c r="D180" s="9" t="s">
        <v>95</v>
      </c>
      <c r="E180" s="2">
        <v>36</v>
      </c>
      <c r="F180" s="2">
        <v>2</v>
      </c>
      <c r="G180" s="2">
        <v>8</v>
      </c>
      <c r="H180" s="2">
        <v>7</v>
      </c>
      <c r="I180" s="2">
        <v>0</v>
      </c>
      <c r="J180" s="2">
        <v>0</v>
      </c>
      <c r="K180" s="2">
        <v>1</v>
      </c>
      <c r="L180" s="2">
        <v>2</v>
      </c>
      <c r="M180" s="2">
        <v>0</v>
      </c>
      <c r="N180" s="2">
        <v>0</v>
      </c>
      <c r="O180" s="2">
        <v>2</v>
      </c>
      <c r="P180" s="2">
        <v>8</v>
      </c>
      <c r="Q180" s="2">
        <v>0</v>
      </c>
      <c r="R180" s="3">
        <v>0</v>
      </c>
    </row>
    <row r="181" spans="1:18" x14ac:dyDescent="0.25">
      <c r="A181" s="8">
        <v>44663</v>
      </c>
      <c r="B181" s="9"/>
      <c r="C181" s="1" t="s">
        <v>26</v>
      </c>
      <c r="D181" s="9" t="s">
        <v>168</v>
      </c>
      <c r="E181" s="2">
        <v>43</v>
      </c>
      <c r="F181" s="2">
        <v>9</v>
      </c>
      <c r="G181" s="2">
        <v>13</v>
      </c>
      <c r="H181" s="2">
        <v>4</v>
      </c>
      <c r="I181" s="2">
        <v>5</v>
      </c>
      <c r="J181" s="2">
        <v>1</v>
      </c>
      <c r="K181" s="2">
        <v>3</v>
      </c>
      <c r="L181" s="2">
        <v>9</v>
      </c>
      <c r="M181" s="2">
        <v>0</v>
      </c>
      <c r="N181" s="2">
        <v>0</v>
      </c>
      <c r="O181" s="2">
        <v>8</v>
      </c>
      <c r="P181" s="2">
        <v>11</v>
      </c>
      <c r="Q181" s="2">
        <v>0</v>
      </c>
      <c r="R181" s="3">
        <v>1</v>
      </c>
    </row>
    <row r="182" spans="1:18" x14ac:dyDescent="0.25">
      <c r="A182" s="8">
        <v>44662</v>
      </c>
      <c r="B182" s="9"/>
      <c r="C182" s="1" t="s">
        <v>26</v>
      </c>
      <c r="D182" s="9" t="s">
        <v>96</v>
      </c>
      <c r="E182" s="2">
        <v>35</v>
      </c>
      <c r="F182" s="2">
        <v>2</v>
      </c>
      <c r="G182" s="2">
        <v>8</v>
      </c>
      <c r="H182" s="2">
        <v>7</v>
      </c>
      <c r="I182" s="2">
        <v>1</v>
      </c>
      <c r="J182" s="2">
        <v>0</v>
      </c>
      <c r="K182" s="2">
        <v>0</v>
      </c>
      <c r="L182" s="2">
        <v>2</v>
      </c>
      <c r="M182" s="2">
        <v>0</v>
      </c>
      <c r="N182" s="2">
        <v>0</v>
      </c>
      <c r="O182" s="2">
        <v>1</v>
      </c>
      <c r="P182" s="2">
        <v>13</v>
      </c>
      <c r="Q182" s="2">
        <v>0</v>
      </c>
      <c r="R182" s="3">
        <v>0</v>
      </c>
    </row>
    <row r="183" spans="1:18" x14ac:dyDescent="0.25">
      <c r="A183" s="8">
        <v>44661</v>
      </c>
      <c r="B183" s="9"/>
      <c r="C183" s="1" t="s">
        <v>43</v>
      </c>
      <c r="D183" s="9" t="s">
        <v>122</v>
      </c>
      <c r="E183" s="2">
        <v>32</v>
      </c>
      <c r="F183" s="2">
        <v>8</v>
      </c>
      <c r="G183" s="2">
        <v>11</v>
      </c>
      <c r="H183" s="2">
        <v>7</v>
      </c>
      <c r="I183" s="2">
        <v>3</v>
      </c>
      <c r="J183" s="2">
        <v>0</v>
      </c>
      <c r="K183" s="2">
        <v>1</v>
      </c>
      <c r="L183" s="2">
        <v>8</v>
      </c>
      <c r="M183" s="2">
        <v>1</v>
      </c>
      <c r="N183" s="2">
        <v>1</v>
      </c>
      <c r="O183" s="2">
        <v>5</v>
      </c>
      <c r="P183" s="2">
        <v>8</v>
      </c>
      <c r="Q183" s="2">
        <v>0</v>
      </c>
      <c r="R183" s="3">
        <v>0</v>
      </c>
    </row>
    <row r="184" spans="1:18" x14ac:dyDescent="0.25">
      <c r="A184" s="8">
        <v>44660</v>
      </c>
      <c r="B184" s="9"/>
      <c r="C184" s="1" t="s">
        <v>43</v>
      </c>
      <c r="D184" s="9" t="s">
        <v>75</v>
      </c>
      <c r="E184" s="2">
        <v>29</v>
      </c>
      <c r="F184" s="2">
        <v>5</v>
      </c>
      <c r="G184" s="2">
        <v>8</v>
      </c>
      <c r="H184" s="2">
        <v>5</v>
      </c>
      <c r="I184" s="2">
        <v>1</v>
      </c>
      <c r="J184" s="2">
        <v>1</v>
      </c>
      <c r="K184" s="2">
        <v>1</v>
      </c>
      <c r="L184" s="2">
        <v>5</v>
      </c>
      <c r="M184" s="2">
        <v>0</v>
      </c>
      <c r="N184" s="2">
        <v>0</v>
      </c>
      <c r="O184" s="2">
        <v>3</v>
      </c>
      <c r="P184" s="2">
        <v>5</v>
      </c>
      <c r="Q184" s="2">
        <v>0</v>
      </c>
      <c r="R184" s="3">
        <v>0</v>
      </c>
    </row>
    <row r="185" spans="1:18" x14ac:dyDescent="0.25">
      <c r="A185" s="10">
        <v>44659</v>
      </c>
      <c r="B185" s="11"/>
      <c r="C185" s="4" t="s">
        <v>43</v>
      </c>
      <c r="D185" s="11" t="s">
        <v>86</v>
      </c>
      <c r="E185" s="5">
        <v>30</v>
      </c>
      <c r="F185" s="5">
        <v>2</v>
      </c>
      <c r="G185" s="5">
        <v>8</v>
      </c>
      <c r="H185" s="5">
        <v>8</v>
      </c>
      <c r="I185" s="5">
        <v>0</v>
      </c>
      <c r="J185" s="5">
        <v>0</v>
      </c>
      <c r="K185" s="5">
        <v>0</v>
      </c>
      <c r="L185" s="5">
        <v>2</v>
      </c>
      <c r="M185" s="5">
        <v>0</v>
      </c>
      <c r="N185" s="5">
        <v>0</v>
      </c>
      <c r="O185" s="5">
        <v>3</v>
      </c>
      <c r="P185" s="5">
        <v>9</v>
      </c>
      <c r="Q185" s="5">
        <v>0</v>
      </c>
      <c r="R185" s="6">
        <v>0</v>
      </c>
    </row>
  </sheetData>
  <autoFilter ref="A1:R185" xr:uid="{2E17D2E0-0CE5-499E-97B2-666B3079B8BA}"/>
  <conditionalFormatting sqref="G186:G1048576">
    <cfRule type="top10" dxfId="28" priority="6" percent="1" rank="10"/>
  </conditionalFormatting>
  <conditionalFormatting sqref="D188:D1048576 D2:D185">
    <cfRule type="containsText" dxfId="27" priority="4" operator="containsText" text="L">
      <formula>NOT(ISERROR(SEARCH("L",D2)))</formula>
    </cfRule>
    <cfRule type="containsText" dxfId="26" priority="5" operator="containsText" text="W">
      <formula>NOT(ISERROR(SEARCH("W",D2)))</formula>
    </cfRule>
  </conditionalFormatting>
  <conditionalFormatting sqref="L2:L1048576">
    <cfRule type="cellIs" dxfId="25" priority="3" operator="greaterThan">
      <formula>5</formula>
    </cfRule>
  </conditionalFormatting>
  <conditionalFormatting sqref="P2:P185">
    <cfRule type="colorScale" priority="1">
      <colorScale>
        <cfvo type="min"/>
        <cfvo type="percentile" val="50"/>
        <cfvo type="max"/>
        <color rgb="FF63BE7B"/>
        <color rgb="FFFFEB84"/>
        <color rgb="FFF8696B"/>
      </colorScale>
    </cfRule>
    <cfRule type="cellIs" dxfId="24" priority="2" operator="greaterThan">
      <formula>9</formula>
    </cfRule>
  </conditionalFormatting>
  <hyperlinks>
    <hyperlink ref="A4" r:id="rId1" display="https://www.baseball-reference.com/boxes/TBA/TBA202304210.shtml?__hstc=205977932.44b38330ec7980febccadd4973af5225.1679199339564.1682188845733.1682200668877.8&amp;__hssc=205977932.4.1682200668877&amp;__hsfp=3642558235" xr:uid="{0D0030F9-6EBB-4C40-AF92-253F1C28CF5C}"/>
    <hyperlink ref="C4" r:id="rId2" display="https://www.baseball-reference.com/teams/CHW/2023.shtml?__hstc=205977932.44b38330ec7980febccadd4973af5225.1679199339564.1682188845733.1682200668877.8&amp;__hssc=205977932.4.1682200668877&amp;__hsfp=3642558235" xr:uid="{F71D9801-645F-4F9A-A0BB-1FF7CED2D59D}"/>
    <hyperlink ref="A5" r:id="rId3" display="https://www.baseball-reference.com/boxes/CIN/CIN202304190.shtml?__hstc=205977932.44b38330ec7980febccadd4973af5225.1679199339564.1682188845733.1682200668877.8&amp;__hssc=205977932.4.1682200668877&amp;__hsfp=3642558235" xr:uid="{FBD993A0-86D6-4C99-A604-2699D0207B09}"/>
    <hyperlink ref="C5" r:id="rId4" display="https://www.baseball-reference.com/teams/CIN/2023.shtml?__hstc=205977932.44b38330ec7980febccadd4973af5225.1679199339564.1682188845733.1682200668877.8&amp;__hssc=205977932.4.1682200668877&amp;__hsfp=3642558235" xr:uid="{D8FB591D-6BA1-4C20-A0B1-7CFC46C0F9DE}"/>
    <hyperlink ref="A6" r:id="rId5" display="https://www.baseball-reference.com/boxes/CIN/CIN202304180.shtml?__hstc=205977932.44b38330ec7980febccadd4973af5225.1679199339564.1682188845733.1682200668877.8&amp;__hssc=205977932.4.1682200668877&amp;__hsfp=3642558235" xr:uid="{DA2D5A2A-1BC5-4A9A-9902-42B523660A4E}"/>
    <hyperlink ref="C6" r:id="rId6" display="https://www.baseball-reference.com/teams/CIN/2023.shtml?__hstc=205977932.44b38330ec7980febccadd4973af5225.1679199339564.1682188845733.1682200668877.8&amp;__hssc=205977932.4.1682200668877&amp;__hsfp=3642558235" xr:uid="{D9D75028-10ED-4F67-A921-5F276CE1F0DB}"/>
    <hyperlink ref="A7" r:id="rId7" display="https://www.baseball-reference.com/boxes/CIN/CIN202304170.shtml?__hstc=205977932.44b38330ec7980febccadd4973af5225.1679199339564.1682188845733.1682200668877.8&amp;__hssc=205977932.4.1682200668877&amp;__hsfp=3642558235" xr:uid="{E17BC8A7-F046-446A-9316-01804769D37D}"/>
    <hyperlink ref="C7" r:id="rId8" display="https://www.baseball-reference.com/teams/CIN/2023.shtml?__hstc=205977932.44b38330ec7980febccadd4973af5225.1679199339564.1682188845733.1682200668877.8&amp;__hssc=205977932.4.1682200668877&amp;__hsfp=3642558235" xr:uid="{8FCEAB57-B422-42CC-8782-2B65CDA5E414}"/>
    <hyperlink ref="A8" r:id="rId9" display="https://www.baseball-reference.com/boxes/TOR/TOR202304160.shtml?__hstc=205977932.44b38330ec7980febccadd4973af5225.1679199339564.1682188845733.1682200668877.8&amp;__hssc=205977932.4.1682200668877&amp;__hsfp=3642558235" xr:uid="{795B5403-82ED-426C-BF9F-3271F32E0A30}"/>
    <hyperlink ref="C8" r:id="rId10" display="https://www.baseball-reference.com/teams/TOR/2023.shtml?__hstc=205977932.44b38330ec7980febccadd4973af5225.1679199339564.1682188845733.1682200668877.8&amp;__hssc=205977932.4.1682200668877&amp;__hsfp=3642558235" xr:uid="{CD0074B6-75CC-47C5-926F-F375802E0702}"/>
    <hyperlink ref="A9" r:id="rId11" display="https://www.baseball-reference.com/boxes/TOR/TOR202304150.shtml?__hstc=205977932.44b38330ec7980febccadd4973af5225.1679199339564.1682188845733.1682200668877.8&amp;__hssc=205977932.4.1682200668877&amp;__hsfp=3642558235" xr:uid="{317434CA-2B23-483F-A819-44237AA71162}"/>
    <hyperlink ref="C9" r:id="rId12" display="https://www.baseball-reference.com/teams/TOR/2023.shtml?__hstc=205977932.44b38330ec7980febccadd4973af5225.1679199339564.1682188845733.1682200668877.8&amp;__hssc=205977932.4.1682200668877&amp;__hsfp=3642558235" xr:uid="{1610E604-3A31-460F-B538-3E57CF46A8E0}"/>
    <hyperlink ref="A10" r:id="rId13" display="https://www.baseball-reference.com/boxes/TOR/TOR202304140.shtml?__hstc=205977932.44b38330ec7980febccadd4973af5225.1679199339564.1682188845733.1682200668877.8&amp;__hssc=205977932.4.1682200668877&amp;__hsfp=3642558235" xr:uid="{ED53EFCE-0C96-4E99-AFB1-55F368547C79}"/>
    <hyperlink ref="C10" r:id="rId14" display="https://www.baseball-reference.com/teams/TOR/2023.shtml?__hstc=205977932.44b38330ec7980febccadd4973af5225.1679199339564.1682188845733.1682200668877.8&amp;__hssc=205977932.4.1682200668877&amp;__hsfp=3642558235" xr:uid="{E834BD16-23DF-4A3E-96BB-1A57D50CEB2C}"/>
    <hyperlink ref="A11" r:id="rId15" display="https://www.baseball-reference.com/boxes/TBA/TBA202304130.shtml?__hstc=205977932.44b38330ec7980febccadd4973af5225.1679199339564.1682188845733.1682200668877.8&amp;__hssc=205977932.4.1682200668877&amp;__hsfp=3642558235" xr:uid="{ADE4A318-093C-4688-BC3E-FF2AE526FF11}"/>
    <hyperlink ref="C11" r:id="rId16" display="https://www.baseball-reference.com/teams/BOS/2023.shtml?__hstc=205977932.44b38330ec7980febccadd4973af5225.1679199339564.1682188845733.1682200668877.8&amp;__hssc=205977932.4.1682200668877&amp;__hsfp=3642558235" xr:uid="{E80699F1-9309-40F3-81A9-B2609059F7B6}"/>
    <hyperlink ref="A12" r:id="rId17" display="https://www.baseball-reference.com/boxes/TBA/TBA202304120.shtml?__hstc=205977932.44b38330ec7980febccadd4973af5225.1679199339564.1682188845733.1682200668877.8&amp;__hssc=205977932.4.1682200668877&amp;__hsfp=3642558235" xr:uid="{23FAC545-4181-41A0-ABB5-6F33DE703781}"/>
    <hyperlink ref="C12" r:id="rId18" display="https://www.baseball-reference.com/teams/BOS/2023.shtml?__hstc=205977932.44b38330ec7980febccadd4973af5225.1679199339564.1682188845733.1682200668877.8&amp;__hssc=205977932.4.1682200668877&amp;__hsfp=3642558235" xr:uid="{9DE7AE91-FE21-4777-BC10-D11242CEB6F1}"/>
    <hyperlink ref="A13" r:id="rId19" display="https://www.baseball-reference.com/boxes/TBA/TBA202304110.shtml?__hstc=205977932.44b38330ec7980febccadd4973af5225.1679199339564.1682188845733.1682200668877.8&amp;__hssc=205977932.4.1682200668877&amp;__hsfp=3642558235" xr:uid="{9B67DF6B-C684-429E-AEC4-274E8E107BFA}"/>
    <hyperlink ref="C13" r:id="rId20" display="https://www.baseball-reference.com/teams/BOS/2023.shtml?__hstc=205977932.44b38330ec7980febccadd4973af5225.1679199339564.1682188845733.1682200668877.8&amp;__hssc=205977932.4.1682200668877&amp;__hsfp=3642558235" xr:uid="{17BA4E93-08B9-4424-A7E9-DF52CC965AB1}"/>
    <hyperlink ref="A14" r:id="rId21" display="https://www.baseball-reference.com/boxes/TBA/TBA202304100.shtml?__hstc=205977932.44b38330ec7980febccadd4973af5225.1679199339564.1682188845733.1682200668877.8&amp;__hssc=205977932.4.1682200668877&amp;__hsfp=3642558235" xr:uid="{DBED5AAE-CFE8-4006-9A3D-0E3C10A83ABB}"/>
    <hyperlink ref="C14" r:id="rId22" display="https://www.baseball-reference.com/teams/BOS/2023.shtml?__hstc=205977932.44b38330ec7980febccadd4973af5225.1679199339564.1682188845733.1682200668877.8&amp;__hssc=205977932.4.1682200668877&amp;__hsfp=3642558235" xr:uid="{AF3F6E29-3CE4-4507-9CFE-68A499BBA922}"/>
    <hyperlink ref="A15" r:id="rId23" display="https://www.baseball-reference.com/boxes/TBA/TBA202304090.shtml?__hstc=205977932.44b38330ec7980febccadd4973af5225.1679199339564.1682188845733.1682200668877.8&amp;__hssc=205977932.4.1682200668877&amp;__hsfp=3642558235" xr:uid="{CE256731-5C7B-47EA-A19E-D5C53F5F779F}"/>
    <hyperlink ref="C15" r:id="rId24" display="https://www.baseball-reference.com/teams/OAK/2023.shtml?__hstc=205977932.44b38330ec7980febccadd4973af5225.1679199339564.1682188845733.1682200668877.8&amp;__hssc=205977932.4.1682200668877&amp;__hsfp=3642558235" xr:uid="{33AC74B3-4DA6-4F0C-9190-5E588861146B}"/>
    <hyperlink ref="A16" r:id="rId25" display="https://www.baseball-reference.com/boxes/TBA/TBA202304080.shtml?__hstc=205977932.44b38330ec7980febccadd4973af5225.1679199339564.1682188845733.1682200668877.8&amp;__hssc=205977932.4.1682200668877&amp;__hsfp=3642558235" xr:uid="{369A3EEC-0400-4348-B2C9-EB1E3022879F}"/>
    <hyperlink ref="C16" r:id="rId26" display="https://www.baseball-reference.com/teams/OAK/2023.shtml?__hstc=205977932.44b38330ec7980febccadd4973af5225.1679199339564.1682188845733.1682200668877.8&amp;__hssc=205977932.4.1682200668877&amp;__hsfp=3642558235" xr:uid="{B416FB70-C2CF-4167-8DB0-27E1E41F8EE9}"/>
    <hyperlink ref="A17" r:id="rId27" display="https://www.baseball-reference.com/boxes/TBA/TBA202304070.shtml?__hstc=205977932.44b38330ec7980febccadd4973af5225.1679199339564.1682188845733.1682200668877.8&amp;__hssc=205977932.4.1682200668877&amp;__hsfp=3642558235" xr:uid="{93B150F5-DD8F-490F-9F3F-BC0CB500B4D1}"/>
    <hyperlink ref="C17" r:id="rId28" display="https://www.baseball-reference.com/teams/OAK/2023.shtml?__hstc=205977932.44b38330ec7980febccadd4973af5225.1679199339564.1682188845733.1682200668877.8&amp;__hssc=205977932.4.1682200668877&amp;__hsfp=3642558235" xr:uid="{032AA695-587F-4ED2-99E2-ABD428234D9E}"/>
    <hyperlink ref="A18" r:id="rId29" display="https://www.baseball-reference.com/boxes/WAS/WAS202304050.shtml?__hstc=205977932.44b38330ec7980febccadd4973af5225.1679199339564.1682188845733.1682200668877.8&amp;__hssc=205977932.4.1682200668877&amp;__hsfp=3642558235" xr:uid="{5BD7AF76-1829-4E9B-89E7-D194CE15C72A}"/>
    <hyperlink ref="C18" r:id="rId30" display="https://www.baseball-reference.com/teams/WSN/2023.shtml?__hstc=205977932.44b38330ec7980febccadd4973af5225.1679199339564.1682188845733.1682200668877.8&amp;__hssc=205977932.4.1682200668877&amp;__hsfp=3642558235" xr:uid="{44F57125-063D-40D3-902A-2631FAB4A2AB}"/>
    <hyperlink ref="A19" r:id="rId31" display="https://www.baseball-reference.com/boxes/WAS/WAS202304040.shtml?__hstc=205977932.44b38330ec7980febccadd4973af5225.1679199339564.1682188845733.1682200668877.8&amp;__hssc=205977932.4.1682200668877&amp;__hsfp=3642558235" xr:uid="{27AC5E01-CC7D-4FB0-82EC-3BCFE853410E}"/>
    <hyperlink ref="C19" r:id="rId32" display="https://www.baseball-reference.com/teams/WSN/2023.shtml?__hstc=205977932.44b38330ec7980febccadd4973af5225.1679199339564.1682188845733.1682200668877.8&amp;__hssc=205977932.4.1682200668877&amp;__hsfp=3642558235" xr:uid="{BD9F037B-37DA-4A82-A176-3C8C65BDC72C}"/>
    <hyperlink ref="A20" r:id="rId33" display="https://www.baseball-reference.com/boxes/WAS/WAS202304030.shtml?__hstc=205977932.44b38330ec7980febccadd4973af5225.1679199339564.1682188845733.1682200668877.8&amp;__hssc=205977932.4.1682200668877&amp;__hsfp=3642558235" xr:uid="{CC8E6F65-9828-4AB6-B510-2667BEF57D0F}"/>
    <hyperlink ref="C20" r:id="rId34" display="https://www.baseball-reference.com/teams/WSN/2023.shtml?__hstc=205977932.44b38330ec7980febccadd4973af5225.1679199339564.1682188845733.1682200668877.8&amp;__hssc=205977932.4.1682200668877&amp;__hsfp=3642558235" xr:uid="{B66C3E45-8507-4A74-B692-DD81C3806342}"/>
    <hyperlink ref="A21" r:id="rId35" display="https://www.baseball-reference.com/boxes/TBA/TBA202304020.shtml?__hstc=205977932.44b38330ec7980febccadd4973af5225.1679199339564.1682188845733.1682200668877.8&amp;__hssc=205977932.4.1682200668877&amp;__hsfp=3642558235" xr:uid="{21B58820-BE29-4867-9605-6F53AE5D366A}"/>
    <hyperlink ref="C21" r:id="rId36" display="https://www.baseball-reference.com/teams/DET/2023.shtml?__hstc=205977932.44b38330ec7980febccadd4973af5225.1679199339564.1682188845733.1682200668877.8&amp;__hssc=205977932.4.1682200668877&amp;__hsfp=3642558235" xr:uid="{2C04C6A0-BA3C-4D7C-B725-71FB3FB15C30}"/>
    <hyperlink ref="A22" r:id="rId37" display="https://www.baseball-reference.com/boxes/TBA/TBA202304010.shtml?__hstc=205977932.44b38330ec7980febccadd4973af5225.1679199339564.1682188845733.1682200668877.8&amp;__hssc=205977932.4.1682200668877&amp;__hsfp=3642558235" xr:uid="{C39AD970-D986-4126-8103-0870AD1378AF}"/>
    <hyperlink ref="C22" r:id="rId38" display="https://www.baseball-reference.com/teams/DET/2023.shtml?__hstc=205977932.44b38330ec7980febccadd4973af5225.1679199339564.1682188845733.1682200668877.8&amp;__hssc=205977932.4.1682200668877&amp;__hsfp=3642558235" xr:uid="{E0ECCCD7-787C-480E-8B2D-8C9F0E618B27}"/>
    <hyperlink ref="A23" r:id="rId39" display="https://www.baseball-reference.com/boxes/TBA/TBA202303300.shtml?__hstc=205977932.44b38330ec7980febccadd4973af5225.1679199339564.1682188845733.1682200668877.8&amp;__hssc=205977932.4.1682200668877&amp;__hsfp=3642558235" xr:uid="{D8F3985F-215D-4B06-8533-FC9945C94A6A}"/>
    <hyperlink ref="C23" r:id="rId40" display="https://www.baseball-reference.com/teams/DET/2023.shtml?__hstc=205977932.44b38330ec7980febccadd4973af5225.1679199339564.1682188845733.1682200668877.8&amp;__hssc=205977932.4.1682200668877&amp;__hsfp=3642558235" xr:uid="{A66FA9FF-7367-4288-A984-83C1C2F3B75F}"/>
    <hyperlink ref="A24" r:id="rId41" display="https://www.baseball-reference.com/boxes/BOS/BOS202210050.shtml?__hstc=205977932.44b38330ec7980febccadd4973af5225.1679199339564.1682188845733.1682200668877.8&amp;__hssc=205977932.4.1682200668877&amp;__hsfp=3642558235" xr:uid="{FE014F9F-890D-4A43-A4C3-832AF91FF1E0}"/>
    <hyperlink ref="C24" r:id="rId42" display="https://www.baseball-reference.com/teams/BOS/2022.shtml?__hstc=205977932.44b38330ec7980febccadd4973af5225.1679199339564.1682188845733.1682200668877.8&amp;__hssc=205977932.4.1682200668877&amp;__hsfp=3642558235" xr:uid="{F3A4E12C-0F52-45BC-80C5-DB748215EF4D}"/>
    <hyperlink ref="A25" r:id="rId43" display="https://www.baseball-reference.com/boxes/BOS/BOS202210040.shtml?__hstc=205977932.44b38330ec7980febccadd4973af5225.1679199339564.1682188845733.1682200668877.8&amp;__hssc=205977932.4.1682200668877&amp;__hsfp=3642558235" xr:uid="{9C8BFDDD-A9EE-49EF-BA7B-4FF9FF5C7433}"/>
    <hyperlink ref="C25" r:id="rId44" display="https://www.baseball-reference.com/teams/BOS/2022.shtml?__hstc=205977932.44b38330ec7980febccadd4973af5225.1679199339564.1682188845733.1682200668877.8&amp;__hssc=205977932.4.1682200668877&amp;__hsfp=3642558235" xr:uid="{DFC4EA21-6774-4895-8F91-67F4ADB9A290}"/>
    <hyperlink ref="A26" r:id="rId45" display="https://www.baseball-reference.com/boxes/BOS/BOS202210030.shtml?__hstc=205977932.44b38330ec7980febccadd4973af5225.1679199339564.1682188845733.1682200668877.8&amp;__hssc=205977932.4.1682200668877&amp;__hsfp=3642558235" xr:uid="{423D197B-7997-4703-BBD9-4A5C91372376}"/>
    <hyperlink ref="C26" r:id="rId46" display="https://www.baseball-reference.com/teams/BOS/2022.shtml?__hstc=205977932.44b38330ec7980febccadd4973af5225.1679199339564.1682188845733.1682200668877.8&amp;__hssc=205977932.4.1682200668877&amp;__hsfp=3642558235" xr:uid="{CC0E02FC-84E7-4B55-A4FE-C23CC395D265}"/>
    <hyperlink ref="A27" r:id="rId47" display="https://www.baseball-reference.com/boxes/HOU/HOU202210020.shtml?__hstc=205977932.44b38330ec7980febccadd4973af5225.1679199339564.1682188845733.1682200668877.8&amp;__hssc=205977932.4.1682200668877&amp;__hsfp=3642558235" xr:uid="{751100AB-06AA-40DA-9C20-A166469EC7FC}"/>
    <hyperlink ref="C27" r:id="rId48" display="https://www.baseball-reference.com/teams/HOU/2022.shtml?__hstc=205977932.44b38330ec7980febccadd4973af5225.1679199339564.1682188845733.1682200668877.8&amp;__hssc=205977932.4.1682200668877&amp;__hsfp=3642558235" xr:uid="{B678388E-168D-462F-B88A-16A1658CB973}"/>
    <hyperlink ref="A28" r:id="rId49" display="https://www.baseball-reference.com/boxes/HOU/HOU202210010.shtml?__hstc=205977932.44b38330ec7980febccadd4973af5225.1679199339564.1682188845733.1682200668877.8&amp;__hssc=205977932.4.1682200668877&amp;__hsfp=3642558235" xr:uid="{7878DA32-2EEA-4ECF-BBD4-39C6F94765F4}"/>
    <hyperlink ref="C28" r:id="rId50" display="https://www.baseball-reference.com/teams/HOU/2022.shtml?__hstc=205977932.44b38330ec7980febccadd4973af5225.1679199339564.1682188845733.1682200668877.8&amp;__hssc=205977932.4.1682200668877&amp;__hsfp=3642558235" xr:uid="{96B2AB71-EBB8-4A18-A781-253D1E9F6F03}"/>
    <hyperlink ref="A29" r:id="rId51" display="https://www.baseball-reference.com/boxes/HOU/HOU202209300.shtml?__hstc=205977932.44b38330ec7980febccadd4973af5225.1679199339564.1682188845733.1682200668877.8&amp;__hssc=205977932.4.1682200668877&amp;__hsfp=3642558235" xr:uid="{C45A9176-E974-4552-BC5C-D2D5691DC708}"/>
    <hyperlink ref="C29" r:id="rId52" display="https://www.baseball-reference.com/teams/HOU/2022.shtml?__hstc=205977932.44b38330ec7980febccadd4973af5225.1679199339564.1682188845733.1682200668877.8&amp;__hssc=205977932.4.1682200668877&amp;__hsfp=3642558235" xr:uid="{753B1323-3757-4635-9D8C-2D89B2A3EC8C}"/>
    <hyperlink ref="A30" r:id="rId53" display="https://www.baseball-reference.com/boxes/CLE/CLE202209290.shtml?__hstc=205977932.44b38330ec7980febccadd4973af5225.1679199339564.1682188845733.1682200668877.8&amp;__hssc=205977932.4.1682200668877&amp;__hsfp=3642558235" xr:uid="{C03F40E6-0CC2-45FE-9891-E20D66B7DDC3}"/>
    <hyperlink ref="C30" r:id="rId54" display="https://www.baseball-reference.com/teams/CLE/2022.shtml?__hstc=205977932.44b38330ec7980febccadd4973af5225.1679199339564.1682188845733.1682200668877.8&amp;__hssc=205977932.4.1682200668877&amp;__hsfp=3642558235" xr:uid="{D2210134-E6E5-4914-948C-6D23CF4928B3}"/>
    <hyperlink ref="A31" r:id="rId55" display="https://www.baseball-reference.com/boxes/CLE/CLE202209280.shtml?__hstc=205977932.44b38330ec7980febccadd4973af5225.1679199339564.1682188845733.1682200668877.8&amp;__hssc=205977932.4.1682200668877&amp;__hsfp=3642558235" xr:uid="{06BCE91E-8AF9-49B1-BCE3-3CEA21189663}"/>
    <hyperlink ref="C31" r:id="rId56" display="https://www.baseball-reference.com/teams/CLE/2022.shtml?__hstc=205977932.44b38330ec7980febccadd4973af5225.1679199339564.1682188845733.1682200668877.8&amp;__hssc=205977932.4.1682200668877&amp;__hsfp=3642558235" xr:uid="{9C5E8385-453D-4DEE-8A8E-F5A1D1841755}"/>
    <hyperlink ref="A32" r:id="rId57" display="https://www.baseball-reference.com/boxes/CLE/CLE202209270.shtml?__hstc=205977932.44b38330ec7980febccadd4973af5225.1679199339564.1682188845733.1682200668877.8&amp;__hssc=205977932.4.1682200668877&amp;__hsfp=3642558235" xr:uid="{BA4F2255-D3C0-4303-B818-EF891CB6917A}"/>
    <hyperlink ref="C32" r:id="rId58" display="https://www.baseball-reference.com/teams/CLE/2022.shtml?__hstc=205977932.44b38330ec7980febccadd4973af5225.1679199339564.1682188845733.1682200668877.8&amp;__hssc=205977932.4.1682200668877&amp;__hsfp=3642558235" xr:uid="{26FC896F-DA00-4FEB-AB94-8F9D3D86338E}"/>
    <hyperlink ref="A33" r:id="rId59" display="https://www.baseball-reference.com/boxes/TBA/TBA202209250.shtml?__hstc=205977932.44b38330ec7980febccadd4973af5225.1679199339564.1682188845733.1682200668877.8&amp;__hssc=205977932.4.1682200668877&amp;__hsfp=3642558235" xr:uid="{B9993148-6D78-459A-A243-FEFB5AEEB32D}"/>
    <hyperlink ref="C33" r:id="rId60" display="https://www.baseball-reference.com/teams/TOR/2022.shtml?__hstc=205977932.44b38330ec7980febccadd4973af5225.1679199339564.1682188845733.1682200668877.8&amp;__hssc=205977932.4.1682200668877&amp;__hsfp=3642558235" xr:uid="{D39E7C48-CFF5-4CCB-8438-A5B39822A14F}"/>
    <hyperlink ref="A34" r:id="rId61" display="https://www.baseball-reference.com/boxes/TBA/TBA202209240.shtml?__hstc=205977932.44b38330ec7980febccadd4973af5225.1679199339564.1682188845733.1682200668877.8&amp;__hssc=205977932.4.1682200668877&amp;__hsfp=3642558235" xr:uid="{F8676ED0-10FB-45D4-8E9C-69ECAE515F2A}"/>
    <hyperlink ref="C34" r:id="rId62" display="https://www.baseball-reference.com/teams/TOR/2022.shtml?__hstc=205977932.44b38330ec7980febccadd4973af5225.1679199339564.1682188845733.1682200668877.8&amp;__hssc=205977932.4.1682200668877&amp;__hsfp=3642558235" xr:uid="{64629F12-95BE-4100-B3B2-AAD05C75F813}"/>
    <hyperlink ref="A35" r:id="rId63" display="https://www.baseball-reference.com/boxes/TBA/TBA202209230.shtml?__hstc=205977932.44b38330ec7980febccadd4973af5225.1679199339564.1682188845733.1682200668877.8&amp;__hssc=205977932.4.1682200668877&amp;__hsfp=3642558235" xr:uid="{F28B508D-2366-40D5-9310-539E5E048F58}"/>
    <hyperlink ref="C35" r:id="rId64" display="https://www.baseball-reference.com/teams/TOR/2022.shtml?__hstc=205977932.44b38330ec7980febccadd4973af5225.1679199339564.1682188845733.1682200668877.8&amp;__hssc=205977932.4.1682200668877&amp;__hsfp=3642558235" xr:uid="{20C51389-7BF8-49C1-8508-7EBA0187BF49}"/>
    <hyperlink ref="A36" r:id="rId65" display="https://www.baseball-reference.com/boxes/TBA/TBA202209220.shtml?__hstc=205977932.44b38330ec7980febccadd4973af5225.1679199339564.1682188845733.1682200668877.8&amp;__hssc=205977932.4.1682200668877&amp;__hsfp=3642558235" xr:uid="{B6EB63B0-C021-448B-9EB1-99B86DE92EE5}"/>
    <hyperlink ref="C36" r:id="rId66" display="https://www.baseball-reference.com/teams/TOR/2022.shtml?__hstc=205977932.44b38330ec7980febccadd4973af5225.1679199339564.1682188845733.1682200668877.8&amp;__hssc=205977932.4.1682200668877&amp;__hsfp=3642558235" xr:uid="{296794AA-0F81-4544-96CE-4EF9ED077F73}"/>
    <hyperlink ref="A37" r:id="rId67" display="https://www.baseball-reference.com/boxes/TBA/TBA202209210.shtml?__hstc=205977932.44b38330ec7980febccadd4973af5225.1679199339564.1682188845733.1682200668877.8&amp;__hssc=205977932.4.1682200668877&amp;__hsfp=3642558235" xr:uid="{791D8A27-A705-4737-997D-B7B61CC9A68D}"/>
    <hyperlink ref="C37" r:id="rId68" display="https://www.baseball-reference.com/teams/HOU/2022.shtml?__hstc=205977932.44b38330ec7980febccadd4973af5225.1679199339564.1682188845733.1682200668877.8&amp;__hssc=205977932.4.1682200668877&amp;__hsfp=3642558235" xr:uid="{A210FF54-3415-4FFC-BD05-10241C261AF2}"/>
    <hyperlink ref="A38" r:id="rId69" display="https://www.baseball-reference.com/boxes/TBA/TBA202209200.shtml?__hstc=205977932.44b38330ec7980febccadd4973af5225.1679199339564.1682188845733.1682200668877.8&amp;__hssc=205977932.4.1682200668877&amp;__hsfp=3642558235" xr:uid="{BD47AD7B-34BB-4FE9-9531-915EFECC7BBA}"/>
    <hyperlink ref="C38" r:id="rId70" display="https://www.baseball-reference.com/teams/HOU/2022.shtml?__hstc=205977932.44b38330ec7980febccadd4973af5225.1679199339564.1682188845733.1682200668877.8&amp;__hssc=205977932.4.1682200668877&amp;__hsfp=3642558235" xr:uid="{9FF083DE-F4B3-46BF-A0CA-C9DC816C3051}"/>
    <hyperlink ref="A39" r:id="rId71" display="https://www.baseball-reference.com/boxes/TBA/TBA202209190.shtml?__hstc=205977932.44b38330ec7980febccadd4973af5225.1679199339564.1682188845733.1682200668877.8&amp;__hssc=205977932.4.1682200668877&amp;__hsfp=3642558235" xr:uid="{500E95AD-0612-4917-A6BD-7A8D60CAFF2A}"/>
    <hyperlink ref="C39" r:id="rId72" display="https://www.baseball-reference.com/teams/HOU/2022.shtml?__hstc=205977932.44b38330ec7980febccadd4973af5225.1679199339564.1682188845733.1682200668877.8&amp;__hssc=205977932.4.1682200668877&amp;__hsfp=3642558235" xr:uid="{7D583E5C-8AA4-46D9-AD74-CA938BF2A4A6}"/>
    <hyperlink ref="A40" r:id="rId73" display="https://www.baseball-reference.com/boxes/TBA/TBA202209180.shtml?__hstc=205977932.44b38330ec7980febccadd4973af5225.1679199339564.1682188845733.1682200668877.8&amp;__hssc=205977932.4.1682200668877&amp;__hsfp=3642558235" xr:uid="{457B5621-02A2-4692-BF03-618B211190FD}"/>
    <hyperlink ref="C40" r:id="rId74" display="https://www.baseball-reference.com/teams/TEX/2022.shtml?__hstc=205977932.44b38330ec7980febccadd4973af5225.1679199339564.1682188845733.1682200668877.8&amp;__hssc=205977932.4.1682200668877&amp;__hsfp=3642558235" xr:uid="{755CD94E-6394-4309-9BD6-3754B1BDDF5A}"/>
    <hyperlink ref="A41" r:id="rId75" display="https://www.baseball-reference.com/boxes/TBA/TBA202209170.shtml?__hstc=205977932.44b38330ec7980febccadd4973af5225.1679199339564.1682188845733.1682200668877.8&amp;__hssc=205977932.4.1682200668877&amp;__hsfp=3642558235" xr:uid="{BA6B2A05-8E58-4213-BB5A-D0B24479023D}"/>
    <hyperlink ref="C41" r:id="rId76" display="https://www.baseball-reference.com/teams/TEX/2022.shtml?__hstc=205977932.44b38330ec7980febccadd4973af5225.1679199339564.1682188845733.1682200668877.8&amp;__hssc=205977932.4.1682200668877&amp;__hsfp=3642558235" xr:uid="{4BDE724A-41FB-4961-8809-04245009FB92}"/>
    <hyperlink ref="A42" r:id="rId77" display="https://www.baseball-reference.com/boxes/TBA/TBA202209160.shtml?__hstc=205977932.44b38330ec7980febccadd4973af5225.1679199339564.1682188845733.1682200668877.8&amp;__hssc=205977932.4.1682200668877&amp;__hsfp=3642558235" xr:uid="{5262991A-582C-4458-9250-AD2EBE1C71E6}"/>
    <hyperlink ref="C42" r:id="rId78" display="https://www.baseball-reference.com/teams/TEX/2022.shtml?__hstc=205977932.44b38330ec7980febccadd4973af5225.1679199339564.1682188845733.1682200668877.8&amp;__hssc=205977932.4.1682200668877&amp;__hsfp=3642558235" xr:uid="{131F2085-EE5B-4CFD-8ADC-35546414D02C}"/>
    <hyperlink ref="A43" r:id="rId79" display="https://www.baseball-reference.com/boxes/TOR/TOR202209150.shtml?__hstc=205977932.44b38330ec7980febccadd4973af5225.1679199339564.1682188845733.1682200668877.8&amp;__hssc=205977932.4.1682200668877&amp;__hsfp=3642558235" xr:uid="{83140F8A-F818-4FA4-A4B3-A81DC171FE18}"/>
    <hyperlink ref="C43" r:id="rId80" display="https://www.baseball-reference.com/teams/TOR/2022.shtml?__hstc=205977932.44b38330ec7980febccadd4973af5225.1679199339564.1682188845733.1682200668877.8&amp;__hssc=205977932.4.1682200668877&amp;__hsfp=3642558235" xr:uid="{0116842E-361F-45BB-B56D-E35E45ADA707}"/>
    <hyperlink ref="A44" r:id="rId81" display="https://www.baseball-reference.com/boxes/TOR/TOR202209140.shtml?__hstc=205977932.44b38330ec7980febccadd4973af5225.1679199339564.1682188845733.1682200668877.8&amp;__hssc=205977932.4.1682200668877&amp;__hsfp=3642558235" xr:uid="{0A579CE1-D13A-4CDE-A338-6D4EF1EE9A2D}"/>
    <hyperlink ref="C44" r:id="rId82" display="https://www.baseball-reference.com/teams/TOR/2022.shtml?__hstc=205977932.44b38330ec7980febccadd4973af5225.1679199339564.1682188845733.1682200668877.8&amp;__hssc=205977932.4.1682200668877&amp;__hsfp=3642558235" xr:uid="{A768F3AB-B9F4-4D71-BFF9-9EC18B70FE0B}"/>
    <hyperlink ref="A45" r:id="rId83" display="https://www.baseball-reference.com/boxes/TOR/TOR202209132.shtml?__hstc=205977932.44b38330ec7980febccadd4973af5225.1679199339564.1682188845733.1682200668877.8&amp;__hssc=205977932.4.1682200668877&amp;__hsfp=3642558235" xr:uid="{5DC23B5E-1D59-4B7F-9C69-57D9FD4BA793}"/>
    <hyperlink ref="C45" r:id="rId84" display="https://www.baseball-reference.com/teams/TOR/2022.shtml?__hstc=205977932.44b38330ec7980febccadd4973af5225.1679199339564.1682188845733.1682200668877.8&amp;__hssc=205977932.4.1682200668877&amp;__hsfp=3642558235" xr:uid="{C0862ECA-8022-4BB1-80B3-82FE38E7FFFD}"/>
    <hyperlink ref="A46" r:id="rId85" display="https://www.baseball-reference.com/boxes/TOR/TOR202209131.shtml?__hstc=205977932.44b38330ec7980febccadd4973af5225.1679199339564.1682188845733.1682200668877.8&amp;__hssc=205977932.4.1682200668877&amp;__hsfp=3642558235" xr:uid="{34D36BCC-670E-4531-9DFC-979B27F419D6}"/>
    <hyperlink ref="C46" r:id="rId86" display="https://www.baseball-reference.com/teams/TOR/2022.shtml?__hstc=205977932.44b38330ec7980febccadd4973af5225.1679199339564.1682188845733.1682200668877.8&amp;__hssc=205977932.4.1682200668877&amp;__hsfp=3642558235" xr:uid="{181F0A3A-AE9A-4AAF-A8E3-3B8B820CC680}"/>
    <hyperlink ref="A47" r:id="rId87" display="https://www.baseball-reference.com/boxes/TOR/TOR202209120.shtml?__hstc=205977932.44b38330ec7980febccadd4973af5225.1679199339564.1682188845733.1682200668877.8&amp;__hssc=205977932.4.1682200668877&amp;__hsfp=3642558235" xr:uid="{A85F0EAB-D60F-4C38-981E-8D443E718528}"/>
    <hyperlink ref="C47" r:id="rId88" display="https://www.baseball-reference.com/teams/TOR/2022.shtml?__hstc=205977932.44b38330ec7980febccadd4973af5225.1679199339564.1682188845733.1682200668877.8&amp;__hssc=205977932.4.1682200668877&amp;__hsfp=3642558235" xr:uid="{A8A509ED-B407-48DF-A207-6A5E89292483}"/>
    <hyperlink ref="A48" r:id="rId89" display="https://www.baseball-reference.com/boxes/NYA/NYA202209110.shtml?__hstc=205977932.44b38330ec7980febccadd4973af5225.1679199339564.1682188845733.1682200668877.8&amp;__hssc=205977932.4.1682200668877&amp;__hsfp=3642558235" xr:uid="{87C727C7-11CD-41C4-9AA2-31E3B11E7F08}"/>
    <hyperlink ref="C48" r:id="rId90" display="https://www.baseball-reference.com/teams/NYY/2022.shtml?__hstc=205977932.44b38330ec7980febccadd4973af5225.1679199339564.1682188845733.1682200668877.8&amp;__hssc=205977932.4.1682200668877&amp;__hsfp=3642558235" xr:uid="{F289CF72-6ABC-4482-9714-BE97CE1D5CA0}"/>
    <hyperlink ref="A49" r:id="rId91" display="https://www.baseball-reference.com/boxes/NYA/NYA202209100.shtml?__hstc=205977932.44b38330ec7980febccadd4973af5225.1679199339564.1682188845733.1682200668877.8&amp;__hssc=205977932.4.1682200668877&amp;__hsfp=3642558235" xr:uid="{594381C8-F2B8-4A4F-A77C-5084054DCC9B}"/>
    <hyperlink ref="C49" r:id="rId92" display="https://www.baseball-reference.com/teams/NYY/2022.shtml?__hstc=205977932.44b38330ec7980febccadd4973af5225.1679199339564.1682188845733.1682200668877.8&amp;__hssc=205977932.4.1682200668877&amp;__hsfp=3642558235" xr:uid="{07F97BCC-8C6E-441C-B93C-E1C2AB094A83}"/>
    <hyperlink ref="A50" r:id="rId93" display="https://www.baseball-reference.com/boxes/NYA/NYA202209090.shtml?__hstc=205977932.44b38330ec7980febccadd4973af5225.1679199339564.1682188845733.1682200668877.8&amp;__hssc=205977932.4.1682200668877&amp;__hsfp=3642558235" xr:uid="{B4640B73-F114-463E-BC78-1871F13138FB}"/>
    <hyperlink ref="C50" r:id="rId94" display="https://www.baseball-reference.com/teams/NYY/2022.shtml?__hstc=205977932.44b38330ec7980febccadd4973af5225.1679199339564.1682188845733.1682200668877.8&amp;__hssc=205977932.4.1682200668877&amp;__hsfp=3642558235" xr:uid="{7CE520CB-478E-485A-9D2C-522E56B4DA03}"/>
    <hyperlink ref="A51" r:id="rId95" display="https://www.baseball-reference.com/boxes/TBA/TBA202209070.shtml?__hstc=205977932.44b38330ec7980febccadd4973af5225.1679199339564.1682188845733.1682200668877.8&amp;__hssc=205977932.4.1682200668877&amp;__hsfp=3642558235" xr:uid="{3E481182-F8C0-4C49-AC8C-B4603B400BBC}"/>
    <hyperlink ref="C51" r:id="rId96" display="https://www.baseball-reference.com/teams/BOS/2022.shtml?__hstc=205977932.44b38330ec7980febccadd4973af5225.1679199339564.1682188845733.1682200668877.8&amp;__hssc=205977932.4.1682200668877&amp;__hsfp=3642558235" xr:uid="{F53BE0C6-E483-408C-BCE1-F32A5957924A}"/>
    <hyperlink ref="A52" r:id="rId97" display="https://www.baseball-reference.com/boxes/TBA/TBA202209060.shtml?__hstc=205977932.44b38330ec7980febccadd4973af5225.1679199339564.1682188845733.1682200668877.8&amp;__hssc=205977932.4.1682200668877&amp;__hsfp=3642558235" xr:uid="{BC639D94-CE7F-421F-A431-FAC93C189E25}"/>
    <hyperlink ref="C52" r:id="rId98" display="https://www.baseball-reference.com/teams/BOS/2022.shtml?__hstc=205977932.44b38330ec7980febccadd4973af5225.1679199339564.1682188845733.1682200668877.8&amp;__hssc=205977932.4.1682200668877&amp;__hsfp=3642558235" xr:uid="{24E3C5E3-6C8E-4B13-B3AF-299C9962492D}"/>
    <hyperlink ref="A53" r:id="rId99" display="https://www.baseball-reference.com/boxes/TBA/TBA202209050.shtml?__hstc=205977932.44b38330ec7980febccadd4973af5225.1679199339564.1682188845733.1682200668877.8&amp;__hssc=205977932.4.1682200668877&amp;__hsfp=3642558235" xr:uid="{3F91C965-285A-4C41-84E5-B0E1FC99C9EA}"/>
    <hyperlink ref="C53" r:id="rId100" display="https://www.baseball-reference.com/teams/BOS/2022.shtml?__hstc=205977932.44b38330ec7980febccadd4973af5225.1679199339564.1682188845733.1682200668877.8&amp;__hssc=205977932.4.1682200668877&amp;__hsfp=3642558235" xr:uid="{EFEE37BE-1A21-4F89-B2EF-18A74F96125A}"/>
    <hyperlink ref="A54" r:id="rId101" display="https://www.baseball-reference.com/boxes/TBA/TBA202209040.shtml?__hstc=205977932.44b38330ec7980febccadd4973af5225.1679199339564.1682188845733.1682200668877.8&amp;__hssc=205977932.4.1682200668877&amp;__hsfp=3642558235" xr:uid="{2F051652-56BC-4F2F-8961-A8F09E8AFD1B}"/>
    <hyperlink ref="C54" r:id="rId102" display="https://www.baseball-reference.com/teams/NYY/2022.shtml?__hstc=205977932.44b38330ec7980febccadd4973af5225.1679199339564.1682188845733.1682200668877.8&amp;__hssc=205977932.4.1682200668877&amp;__hsfp=3642558235" xr:uid="{03BBCF39-E5BD-43CF-AB54-1938B9D8B1E7}"/>
    <hyperlink ref="A55" r:id="rId103" display="https://www.baseball-reference.com/boxes/TBA/TBA202209030.shtml?__hstc=205977932.44b38330ec7980febccadd4973af5225.1679199339564.1682188845733.1682200668877.8&amp;__hssc=205977932.4.1682200668877&amp;__hsfp=3642558235" xr:uid="{29B1AA81-44B3-4CA2-A774-ED221E2F1132}"/>
    <hyperlink ref="C55" r:id="rId104" display="https://www.baseball-reference.com/teams/NYY/2022.shtml?__hstc=205977932.44b38330ec7980febccadd4973af5225.1679199339564.1682188845733.1682200668877.8&amp;__hssc=205977932.4.1682200668877&amp;__hsfp=3642558235" xr:uid="{FC21B818-0266-41C6-AB5F-E36CEF818069}"/>
    <hyperlink ref="A56" r:id="rId105" display="https://www.baseball-reference.com/boxes/TBA/TBA202209020.shtml?__hstc=205977932.44b38330ec7980febccadd4973af5225.1679199339564.1682188845733.1682200668877.8&amp;__hssc=205977932.4.1682200668877&amp;__hsfp=3642558235" xr:uid="{0B6D1C41-ACD7-4A92-B56D-7A65ABFBAD33}"/>
    <hyperlink ref="C56" r:id="rId106" display="https://www.baseball-reference.com/teams/NYY/2022.shtml?__hstc=205977932.44b38330ec7980febccadd4973af5225.1679199339564.1682188845733.1682200668877.8&amp;__hssc=205977932.4.1682200668877&amp;__hsfp=3642558235" xr:uid="{EE5F9215-6106-4A70-B5E9-CFA667ECBC50}"/>
    <hyperlink ref="A57" r:id="rId107" display="https://www.baseball-reference.com/boxes/MIA/MIA202208310.shtml?__hstc=205977932.44b38330ec7980febccadd4973af5225.1679199339564.1682188845733.1682200668877.8&amp;__hssc=205977932.4.1682200668877&amp;__hsfp=3642558235" xr:uid="{7D9B213A-32D1-4893-A826-CD920487C970}"/>
    <hyperlink ref="C57" r:id="rId108" display="https://www.baseball-reference.com/teams/MIA/2022.shtml?__hstc=205977932.44b38330ec7980febccadd4973af5225.1679199339564.1682188845733.1682200668877.8&amp;__hssc=205977932.4.1682200668877&amp;__hsfp=3642558235" xr:uid="{118FF9DA-5A3C-47E4-8B41-F64BE69C8E08}"/>
    <hyperlink ref="A58" r:id="rId109" display="https://www.baseball-reference.com/boxes/MIA/MIA202208300.shtml?__hstc=205977932.44b38330ec7980febccadd4973af5225.1679199339564.1682188845733.1682200668877.8&amp;__hssc=205977932.4.1682200668877&amp;__hsfp=3642558235" xr:uid="{621EB91B-74BC-4329-AF1F-AD6D9DDE797D}"/>
    <hyperlink ref="C58" r:id="rId110" display="https://www.baseball-reference.com/teams/MIA/2022.shtml?__hstc=205977932.44b38330ec7980febccadd4973af5225.1679199339564.1682188845733.1682200668877.8&amp;__hssc=205977932.4.1682200668877&amp;__hsfp=3642558235" xr:uid="{0C79236C-5216-4849-9367-D4F59EB21B99}"/>
    <hyperlink ref="A59" r:id="rId111" display="https://www.baseball-reference.com/boxes/BOS/BOS202208280.shtml?__hstc=205977932.44b38330ec7980febccadd4973af5225.1679199339564.1682188845733.1682200668877.8&amp;__hssc=205977932.4.1682200668877&amp;__hsfp=3642558235" xr:uid="{C9541301-135F-4B91-80C3-3F154FE3A15B}"/>
    <hyperlink ref="C59" r:id="rId112" display="https://www.baseball-reference.com/teams/BOS/2022.shtml?__hstc=205977932.44b38330ec7980febccadd4973af5225.1679199339564.1682188845733.1682200668877.8&amp;__hssc=205977932.4.1682200668877&amp;__hsfp=3642558235" xr:uid="{2801C10C-8B9D-4CEF-86C3-F59044BD22E8}"/>
    <hyperlink ref="A60" r:id="rId113" display="https://www.baseball-reference.com/boxes/BOS/BOS202208270.shtml?__hstc=205977932.44b38330ec7980febccadd4973af5225.1679199339564.1682188845733.1682200668877.8&amp;__hssc=205977932.4.1682200668877&amp;__hsfp=3642558235" xr:uid="{771ABBC4-6F2A-4B8D-B0EE-DA347C8FA514}"/>
    <hyperlink ref="C60" r:id="rId114" display="https://www.baseball-reference.com/teams/BOS/2022.shtml?__hstc=205977932.44b38330ec7980febccadd4973af5225.1679199339564.1682188845733.1682200668877.8&amp;__hssc=205977932.4.1682200668877&amp;__hsfp=3642558235" xr:uid="{C503B6D7-6338-47AB-B70E-1363B33438F6}"/>
    <hyperlink ref="A61" r:id="rId115" display="https://www.baseball-reference.com/boxes/BOS/BOS202208260.shtml?__hstc=205977932.44b38330ec7980febccadd4973af5225.1679199339564.1682188845733.1682200668877.8&amp;__hssc=205977932.4.1682200668877&amp;__hsfp=3642558235" xr:uid="{6ADF272D-AA6E-471A-93D0-63E2814597D6}"/>
    <hyperlink ref="C61" r:id="rId116" display="https://www.baseball-reference.com/teams/BOS/2022.shtml?__hstc=205977932.44b38330ec7980febccadd4973af5225.1679199339564.1682188845733.1682200668877.8&amp;__hssc=205977932.4.1682200668877&amp;__hsfp=3642558235" xr:uid="{127AC227-4A48-48C3-A591-49CC4141BD86}"/>
    <hyperlink ref="A62" r:id="rId117" display="https://www.baseball-reference.com/boxes/TBA/TBA202208250.shtml?__hstc=205977932.44b38330ec7980febccadd4973af5225.1679199339564.1682188845733.1682200668877.8&amp;__hssc=205977932.4.1682200668877&amp;__hsfp=3642558235" xr:uid="{3938C332-4626-478F-A70E-0A841B4A4C82}"/>
    <hyperlink ref="C62" r:id="rId118" display="https://www.baseball-reference.com/teams/LAA/2022.shtml?__hstc=205977932.44b38330ec7980febccadd4973af5225.1679199339564.1682188845733.1682200668877.8&amp;__hssc=205977932.4.1682200668877&amp;__hsfp=3642558235" xr:uid="{4FDD2723-A7F9-4B76-9C8A-DD691BD9705B}"/>
    <hyperlink ref="A63" r:id="rId119" display="https://www.baseball-reference.com/boxes/TBA/TBA202208240.shtml?__hstc=205977932.44b38330ec7980febccadd4973af5225.1679199339564.1682188845733.1682200668877.8&amp;__hssc=205977932.4.1682200668877&amp;__hsfp=3642558235" xr:uid="{9BA6B3EB-4445-424F-9925-7B90FA47EA07}"/>
    <hyperlink ref="C63" r:id="rId120" display="https://www.baseball-reference.com/teams/LAA/2022.shtml?__hstc=205977932.44b38330ec7980febccadd4973af5225.1679199339564.1682188845733.1682200668877.8&amp;__hssc=205977932.4.1682200668877&amp;__hsfp=3642558235" xr:uid="{D58AED6D-8F72-4233-9CF0-89CBF4221FCC}"/>
    <hyperlink ref="A64" r:id="rId121" display="https://www.baseball-reference.com/boxes/TBA/TBA202208230.shtml?__hstc=205977932.44b38330ec7980febccadd4973af5225.1679199339564.1682188845733.1682200668877.8&amp;__hssc=205977932.4.1682200668877&amp;__hsfp=3642558235" xr:uid="{87EAEC9D-C4CF-445D-848F-348D5005ADC2}"/>
    <hyperlink ref="C64" r:id="rId122" display="https://www.baseball-reference.com/teams/LAA/2022.shtml?__hstc=205977932.44b38330ec7980febccadd4973af5225.1679199339564.1682188845733.1682200668877.8&amp;__hssc=205977932.4.1682200668877&amp;__hsfp=3642558235" xr:uid="{24C65B67-E580-4D9D-9E3D-DB3E402DD56B}"/>
    <hyperlink ref="A65" r:id="rId123" display="https://www.baseball-reference.com/boxes/TBA/TBA202208220.shtml?__hstc=205977932.44b38330ec7980febccadd4973af5225.1679199339564.1682188845733.1682200668877.8&amp;__hssc=205977932.4.1682200668877&amp;__hsfp=3642558235" xr:uid="{92A9EDE4-4F79-4561-9244-251B759AF553}"/>
    <hyperlink ref="C65" r:id="rId124" display="https://www.baseball-reference.com/teams/LAA/2022.shtml?__hstc=205977932.44b38330ec7980febccadd4973af5225.1679199339564.1682188845733.1682200668877.8&amp;__hssc=205977932.4.1682200668877&amp;__hsfp=3642558235" xr:uid="{07BAEB41-C1C5-45E4-B97C-019871844FCB}"/>
    <hyperlink ref="A66" r:id="rId125" display="https://www.baseball-reference.com/boxes/TBA/TBA202208210.shtml?__hstc=205977932.44b38330ec7980febccadd4973af5225.1679199339564.1682188845733.1682200668877.8&amp;__hssc=205977932.4.1682200668877&amp;__hsfp=3642558235" xr:uid="{96AEC437-99B6-4335-91F9-8D6B5D5211F4}"/>
    <hyperlink ref="C66" r:id="rId126" display="https://www.baseball-reference.com/teams/KCR/2022.shtml?__hstc=205977932.44b38330ec7980febccadd4973af5225.1679199339564.1682188845733.1682200668877.8&amp;__hssc=205977932.4.1682200668877&amp;__hsfp=3642558235" xr:uid="{B813CAC6-FE1C-42A1-8562-659304F0B2E2}"/>
    <hyperlink ref="A67" r:id="rId127" display="https://www.baseball-reference.com/boxes/TBA/TBA202208200.shtml?__hstc=205977932.44b38330ec7980febccadd4973af5225.1679199339564.1682188845733.1682200668877.8&amp;__hssc=205977932.4.1682200668877&amp;__hsfp=3642558235" xr:uid="{AE5B34BC-6C51-46BD-9A81-9B4040FC1889}"/>
    <hyperlink ref="C67" r:id="rId128" display="https://www.baseball-reference.com/teams/KCR/2022.shtml?__hstc=205977932.44b38330ec7980febccadd4973af5225.1679199339564.1682188845733.1682200668877.8&amp;__hssc=205977932.4.1682200668877&amp;__hsfp=3642558235" xr:uid="{7FA67F10-540C-4FAB-8DC0-AF15AD546484}"/>
    <hyperlink ref="A68" r:id="rId129" display="https://www.baseball-reference.com/boxes/TBA/TBA202208190.shtml?__hstc=205977932.44b38330ec7980febccadd4973af5225.1679199339564.1682188845733.1682200668877.8&amp;__hssc=205977932.4.1682200668877&amp;__hsfp=3642558235" xr:uid="{FBE7D1AE-A204-4571-AB9D-1F330DC56EE5}"/>
    <hyperlink ref="C68" r:id="rId130" display="https://www.baseball-reference.com/teams/KCR/2022.shtml?__hstc=205977932.44b38330ec7980febccadd4973af5225.1679199339564.1682188845733.1682200668877.8&amp;__hssc=205977932.4.1682200668877&amp;__hsfp=3642558235" xr:uid="{B307010D-F416-4792-8228-F4236501A7FB}"/>
    <hyperlink ref="A69" r:id="rId131" display="https://www.baseball-reference.com/boxes/TBA/TBA202208180.shtml?__hstc=205977932.44b38330ec7980febccadd4973af5225.1679199339564.1682188845733.1682200668877.8&amp;__hssc=205977932.4.1682200668877&amp;__hsfp=3642558235" xr:uid="{2F47053F-C29A-47E8-A11C-654860F0A355}"/>
    <hyperlink ref="C69" r:id="rId132" display="https://www.baseball-reference.com/teams/KCR/2022.shtml?__hstc=205977932.44b38330ec7980febccadd4973af5225.1679199339564.1682188845733.1682200668877.8&amp;__hssc=205977932.4.1682200668877&amp;__hsfp=3642558235" xr:uid="{D00B9D1B-9C44-41EE-A157-2D25B6241110}"/>
    <hyperlink ref="A70" r:id="rId133" display="https://www.baseball-reference.com/boxes/NYA/NYA202208170.shtml?__hstc=205977932.44b38330ec7980febccadd4973af5225.1679199339564.1682188845733.1682200668877.8&amp;__hssc=205977932.4.1682200668877&amp;__hsfp=3642558235" xr:uid="{AF92438D-297F-4473-9D61-B4AF73D0A745}"/>
    <hyperlink ref="C70" r:id="rId134" display="https://www.baseball-reference.com/teams/NYY/2022.shtml?__hstc=205977932.44b38330ec7980febccadd4973af5225.1679199339564.1682188845733.1682200668877.8&amp;__hssc=205977932.4.1682200668877&amp;__hsfp=3642558235" xr:uid="{50391429-912B-443B-B658-4731AAC1C87E}"/>
    <hyperlink ref="A71" r:id="rId135" display="https://www.baseball-reference.com/boxes/NYA/NYA202208160.shtml?__hstc=205977932.44b38330ec7980febccadd4973af5225.1679199339564.1682188845733.1682200668877.8&amp;__hssc=205977932.4.1682200668877&amp;__hsfp=3642558235" xr:uid="{5B3346AB-F664-4AE3-8933-F6BFD38B0EA2}"/>
    <hyperlink ref="C71" r:id="rId136" display="https://www.baseball-reference.com/teams/NYY/2022.shtml?__hstc=205977932.44b38330ec7980febccadd4973af5225.1679199339564.1682188845733.1682200668877.8&amp;__hssc=205977932.4.1682200668877&amp;__hsfp=3642558235" xr:uid="{580E4E64-53C3-4A3B-BA46-EC86437EB93E}"/>
    <hyperlink ref="A72" r:id="rId137" display="https://www.baseball-reference.com/boxes/NYA/NYA202208150.shtml?__hstc=205977932.44b38330ec7980febccadd4973af5225.1679199339564.1682188845733.1682200668877.8&amp;__hssc=205977932.4.1682200668877&amp;__hsfp=3642558235" xr:uid="{EE2B111C-E56F-4E3C-A47F-46783458B9F1}"/>
    <hyperlink ref="C72" r:id="rId138" display="https://www.baseball-reference.com/teams/NYY/2022.shtml?__hstc=205977932.44b38330ec7980febccadd4973af5225.1679199339564.1682188845733.1682200668877.8&amp;__hssc=205977932.4.1682200668877&amp;__hsfp=3642558235" xr:uid="{98D276FC-A515-40F5-8DA5-2F6A0D7269AD}"/>
    <hyperlink ref="A73" r:id="rId139" display="https://www.baseball-reference.com/boxes/TBA/TBA202208140.shtml?__hstc=205977932.44b38330ec7980febccadd4973af5225.1679199339564.1682188845733.1682200668877.8&amp;__hssc=205977932.4.1682200668877&amp;__hsfp=3642558235" xr:uid="{6F330000-DA96-4039-A2E1-8B0AF6684EFD}"/>
    <hyperlink ref="C73" r:id="rId140" display="https://www.baseball-reference.com/teams/BAL/2022.shtml?__hstc=205977932.44b38330ec7980febccadd4973af5225.1679199339564.1682188845733.1682200668877.8&amp;__hssc=205977932.4.1682200668877&amp;__hsfp=3642558235" xr:uid="{68280FEC-01D3-4B73-831D-757809392456}"/>
    <hyperlink ref="A74" r:id="rId141" display="https://www.baseball-reference.com/boxes/TBA/TBA202208130.shtml?__hstc=205977932.44b38330ec7980febccadd4973af5225.1679199339564.1682188845733.1682200668877.8&amp;__hssc=205977932.4.1682200668877&amp;__hsfp=3642558235" xr:uid="{7C2A080D-0709-405F-8E40-FDE281622D5D}"/>
    <hyperlink ref="C74" r:id="rId142" display="https://www.baseball-reference.com/teams/BAL/2022.shtml?__hstc=205977932.44b38330ec7980febccadd4973af5225.1679199339564.1682188845733.1682200668877.8&amp;__hssc=205977932.4.1682200668877&amp;__hsfp=3642558235" xr:uid="{8A871ABA-FE4F-45C1-A304-5421F085F574}"/>
    <hyperlink ref="A75" r:id="rId143" display="https://www.baseball-reference.com/boxes/TBA/TBA202208120.shtml?__hstc=205977932.44b38330ec7980febccadd4973af5225.1679199339564.1682188845733.1682200668877.8&amp;__hssc=205977932.4.1682200668877&amp;__hsfp=3642558235" xr:uid="{4232B2A5-AA32-41F1-BDAB-D8106D57EED0}"/>
    <hyperlink ref="C75" r:id="rId144" display="https://www.baseball-reference.com/teams/BAL/2022.shtml?__hstc=205977932.44b38330ec7980febccadd4973af5225.1679199339564.1682188845733.1682200668877.8&amp;__hssc=205977932.4.1682200668877&amp;__hsfp=3642558235" xr:uid="{9F01B181-786A-4FB5-929F-FEB805A45137}"/>
    <hyperlink ref="A76" r:id="rId145" display="https://www.baseball-reference.com/boxes/MIL/MIL202208100.shtml?__hstc=205977932.44b38330ec7980febccadd4973af5225.1679199339564.1682188845733.1682200668877.8&amp;__hssc=205977932.4.1682200668877&amp;__hsfp=3642558235" xr:uid="{9F977EF4-901E-4FD4-9363-71E1B7B78F4F}"/>
    <hyperlink ref="C76" r:id="rId146" display="https://www.baseball-reference.com/teams/MIL/2022.shtml?__hstc=205977932.44b38330ec7980febccadd4973af5225.1679199339564.1682188845733.1682200668877.8&amp;__hssc=205977932.4.1682200668877&amp;__hsfp=3642558235" xr:uid="{E93F3D89-C7AC-42B5-B248-949DDD8D4E18}"/>
    <hyperlink ref="A77" r:id="rId147" display="https://www.baseball-reference.com/boxes/MIL/MIL202208090.shtml?__hstc=205977932.44b38330ec7980febccadd4973af5225.1679199339564.1682188845733.1682200668877.8&amp;__hssc=205977932.4.1682200668877&amp;__hsfp=3642558235" xr:uid="{17535296-5B6A-4E89-8BD2-D2F8D2E2246E}"/>
    <hyperlink ref="C77" r:id="rId148" display="https://www.baseball-reference.com/teams/MIL/2022.shtml?__hstc=205977932.44b38330ec7980febccadd4973af5225.1679199339564.1682188845733.1682200668877.8&amp;__hssc=205977932.4.1682200668877&amp;__hsfp=3642558235" xr:uid="{C5492A96-F352-4E9E-B052-006594EEC284}"/>
    <hyperlink ref="A78" r:id="rId149" display="https://www.baseball-reference.com/boxes/DET/DET202208070.shtml?__hstc=205977932.44b38330ec7980febccadd4973af5225.1679199339564.1682188845733.1682200668877.8&amp;__hssc=205977932.4.1682200668877&amp;__hsfp=3642558235" xr:uid="{5BDE290F-5B13-4DD2-A5E9-E6DCFF1682D3}"/>
    <hyperlink ref="C78" r:id="rId150" display="https://www.baseball-reference.com/teams/DET/2022.shtml?__hstc=205977932.44b38330ec7980febccadd4973af5225.1679199339564.1682188845733.1682200668877.8&amp;__hssc=205977932.4.1682200668877&amp;__hsfp=3642558235" xr:uid="{B153814F-0E4E-4DB4-96D6-CDC4D757B51C}"/>
    <hyperlink ref="A79" r:id="rId151" display="https://www.baseball-reference.com/boxes/DET/DET202208060.shtml?__hstc=205977932.44b38330ec7980febccadd4973af5225.1679199339564.1682188845733.1682200668877.8&amp;__hssc=205977932.4.1682200668877&amp;__hsfp=3642558235" xr:uid="{54BF4C1C-D270-4117-B9E8-DEA525FEE8C6}"/>
    <hyperlink ref="C79" r:id="rId152" display="https://www.baseball-reference.com/teams/DET/2022.shtml?__hstc=205977932.44b38330ec7980febccadd4973af5225.1679199339564.1682188845733.1682200668877.8&amp;__hssc=205977932.4.1682200668877&amp;__hsfp=3642558235" xr:uid="{6169CA6F-27CE-4B94-9C33-385591E057C2}"/>
    <hyperlink ref="A80" r:id="rId153" display="https://www.baseball-reference.com/boxes/DET/DET202208050.shtml?__hstc=205977932.44b38330ec7980febccadd4973af5225.1679199339564.1682188845733.1682200668877.8&amp;__hssc=205977932.4.1682200668877&amp;__hsfp=3642558235" xr:uid="{8654DB14-B2D4-4B1C-90F8-513A1E7D6B31}"/>
    <hyperlink ref="C80" r:id="rId154" display="https://www.baseball-reference.com/teams/DET/2022.shtml?__hstc=205977932.44b38330ec7980febccadd4973af5225.1679199339564.1682188845733.1682200668877.8&amp;__hssc=205977932.4.1682200668877&amp;__hsfp=3642558235" xr:uid="{F306CF51-5C42-4644-8570-764DBD11C9D2}"/>
    <hyperlink ref="A81" r:id="rId155" display="https://www.baseball-reference.com/boxes/DET/DET202208040.shtml?__hstc=205977932.44b38330ec7980febccadd4973af5225.1679199339564.1682188845733.1682200668877.8&amp;__hssc=205977932.4.1682200668877&amp;__hsfp=3642558235" xr:uid="{0E70B9F3-E334-4120-BFA3-D8BF29EEDDAD}"/>
    <hyperlink ref="C81" r:id="rId156" display="https://www.baseball-reference.com/teams/DET/2022.shtml?__hstc=205977932.44b38330ec7980febccadd4973af5225.1679199339564.1682188845733.1682200668877.8&amp;__hssc=205977932.4.1682200668877&amp;__hsfp=3642558235" xr:uid="{4AB0F04D-F720-4A1C-A18A-551969632E5D}"/>
    <hyperlink ref="A82" r:id="rId157" display="https://www.baseball-reference.com/boxes/TBA/TBA202208030.shtml?__hstc=205977932.44b38330ec7980febccadd4973af5225.1679199339564.1682188845733.1682200668877.8&amp;__hssc=205977932.4.1682200668877&amp;__hsfp=3642558235" xr:uid="{8B3CE9FF-4964-44A6-8DE9-7B9A80FF0DBA}"/>
    <hyperlink ref="C82" r:id="rId158" display="https://www.baseball-reference.com/teams/TOR/2022.shtml?__hstc=205977932.44b38330ec7980febccadd4973af5225.1679199339564.1682188845733.1682200668877.8&amp;__hssc=205977932.4.1682200668877&amp;__hsfp=3642558235" xr:uid="{2994AAEF-D68C-455C-9CE5-D071A8E9F1B8}"/>
    <hyperlink ref="A83" r:id="rId159" display="https://www.baseball-reference.com/boxes/TBA/TBA202208020.shtml?__hstc=205977932.44b38330ec7980febccadd4973af5225.1679199339564.1682188845733.1682200668877.8&amp;__hssc=205977932.4.1682200668877&amp;__hsfp=3642558235" xr:uid="{AD2A9243-302F-46CF-82ED-DCC75DF5BA36}"/>
    <hyperlink ref="C83" r:id="rId160" display="https://www.baseball-reference.com/teams/TOR/2022.shtml?__hstc=205977932.44b38330ec7980febccadd4973af5225.1679199339564.1682188845733.1682200668877.8&amp;__hssc=205977932.4.1682200668877&amp;__hsfp=3642558235" xr:uid="{781B2996-9B58-4923-890D-1C85B058F0D2}"/>
    <hyperlink ref="A84" r:id="rId161" display="https://www.baseball-reference.com/boxes/TBA/TBA202207310.shtml?__hstc=205977932.44b38330ec7980febccadd4973af5225.1679199339564.1682188845733.1682200668877.8&amp;__hssc=205977932.4.1682200668877&amp;__hsfp=3642558235" xr:uid="{E31509C4-B5CB-4614-B1F0-07F23832D155}"/>
    <hyperlink ref="C84" r:id="rId162" display="https://www.baseball-reference.com/teams/CLE/2022.shtml?__hstc=205977932.44b38330ec7980febccadd4973af5225.1679199339564.1682188845733.1682200668877.8&amp;__hssc=205977932.4.1682200668877&amp;__hsfp=3642558235" xr:uid="{4F7DE82E-290A-459E-A593-61DB6925A1C8}"/>
    <hyperlink ref="A85" r:id="rId163" display="https://www.baseball-reference.com/boxes/TBA/TBA202207300.shtml?__hstc=205977932.44b38330ec7980febccadd4973af5225.1679199339564.1682188845733.1682200668877.8&amp;__hssc=205977932.4.1682200668877&amp;__hsfp=3642558235" xr:uid="{9CF429A5-FD94-47FC-8885-B92EDBD2FD2B}"/>
    <hyperlink ref="C85" r:id="rId164" display="https://www.baseball-reference.com/teams/CLE/2022.shtml?__hstc=205977932.44b38330ec7980febccadd4973af5225.1679199339564.1682188845733.1682200668877.8&amp;__hssc=205977932.4.1682200668877&amp;__hsfp=3642558235" xr:uid="{413312C6-9571-407B-8A4D-06CC0E1F5BA4}"/>
    <hyperlink ref="A86" r:id="rId165" display="https://www.baseball-reference.com/boxes/TBA/TBA202207290.shtml?__hstc=205977932.44b38330ec7980febccadd4973af5225.1679199339564.1682188845733.1682200668877.8&amp;__hssc=205977932.4.1682200668877&amp;__hsfp=3642558235" xr:uid="{797C525C-9D0B-40FB-AA92-32AFF69CAA15}"/>
    <hyperlink ref="C86" r:id="rId166" display="https://www.baseball-reference.com/teams/CLE/2022.shtml?__hstc=205977932.44b38330ec7980febccadd4973af5225.1679199339564.1682188845733.1682200668877.8&amp;__hssc=205977932.4.1682200668877&amp;__hsfp=3642558235" xr:uid="{1260039F-E8A0-4E23-855A-318A18F24F39}"/>
    <hyperlink ref="A87" r:id="rId167" display="https://www.baseball-reference.com/boxes/BAL/BAL202207280.shtml?__hstc=205977932.44b38330ec7980febccadd4973af5225.1679199339564.1682188845733.1682200668877.8&amp;__hssc=205977932.4.1682200668877&amp;__hsfp=3642558235" xr:uid="{445172E1-E199-4107-B8EB-E21765910000}"/>
    <hyperlink ref="C87" r:id="rId168" display="https://www.baseball-reference.com/teams/BAL/2022.shtml?__hstc=205977932.44b38330ec7980febccadd4973af5225.1679199339564.1682188845733.1682200668877.8&amp;__hssc=205977932.4.1682200668877&amp;__hsfp=3642558235" xr:uid="{8DDDE954-5E31-4DE3-BE56-FCB1513818E5}"/>
    <hyperlink ref="A88" r:id="rId169" display="https://www.baseball-reference.com/boxes/BAL/BAL202207270.shtml?__hstc=205977932.44b38330ec7980febccadd4973af5225.1679199339564.1682188845733.1682200668877.8&amp;__hssc=205977932.4.1682200668877&amp;__hsfp=3642558235" xr:uid="{3969DA3B-D0A8-47B5-88B7-C58C9548EC77}"/>
    <hyperlink ref="C88" r:id="rId170" display="https://www.baseball-reference.com/teams/BAL/2022.shtml?__hstc=205977932.44b38330ec7980febccadd4973af5225.1679199339564.1682188845733.1682200668877.8&amp;__hssc=205977932.4.1682200668877&amp;__hsfp=3642558235" xr:uid="{83AE177B-2EE8-4068-BC21-B68B30189F33}"/>
    <hyperlink ref="A89" r:id="rId171" display="https://www.baseball-reference.com/boxes/BAL/BAL202207260.shtml?__hstc=205977932.44b38330ec7980febccadd4973af5225.1679199339564.1682188845733.1682200668877.8&amp;__hssc=205977932.4.1682200668877&amp;__hsfp=3642558235" xr:uid="{C0797086-3446-4F4D-B77D-3D929BA01441}"/>
    <hyperlink ref="C89" r:id="rId172" display="https://www.baseball-reference.com/teams/BAL/2022.shtml?__hstc=205977932.44b38330ec7980febccadd4973af5225.1679199339564.1682188845733.1682200668877.8&amp;__hssc=205977932.4.1682200668877&amp;__hsfp=3642558235" xr:uid="{F03FDE1B-9365-4091-8D4F-5600271B6FF1}"/>
    <hyperlink ref="A90" r:id="rId173" display="https://www.baseball-reference.com/boxes/BAL/BAL202207250.shtml?__hstc=205977932.44b38330ec7980febccadd4973af5225.1679199339564.1682188845733.1682200668877.8&amp;__hssc=205977932.4.1682200668877&amp;__hsfp=3642558235" xr:uid="{2D302D44-331C-4CA7-867C-1D33909E3E17}"/>
    <hyperlink ref="C90" r:id="rId174" display="https://www.baseball-reference.com/teams/BAL/2022.shtml?__hstc=205977932.44b38330ec7980febccadd4973af5225.1679199339564.1682188845733.1682200668877.8&amp;__hssc=205977932.4.1682200668877&amp;__hsfp=3642558235" xr:uid="{07BAFB2E-A97C-4FA4-A460-FA54F312B1C6}"/>
    <hyperlink ref="A91" r:id="rId175" display="https://www.baseball-reference.com/boxes/KCA/KCA202207240.shtml?__hstc=205977932.44b38330ec7980febccadd4973af5225.1679199339564.1682188845733.1682200668877.8&amp;__hssc=205977932.4.1682200668877&amp;__hsfp=3642558235" xr:uid="{50ECB033-125C-4786-89A0-CA7F850138DE}"/>
    <hyperlink ref="C91" r:id="rId176" display="https://www.baseball-reference.com/teams/KCR/2022.shtml?__hstc=205977932.44b38330ec7980febccadd4973af5225.1679199339564.1682188845733.1682200668877.8&amp;__hssc=205977932.4.1682200668877&amp;__hsfp=3642558235" xr:uid="{0FB0085A-3B7F-4472-92E0-7CD6E604B53F}"/>
    <hyperlink ref="A92" r:id="rId177" display="https://www.baseball-reference.com/boxes/KCA/KCA202207230.shtml?__hstc=205977932.44b38330ec7980febccadd4973af5225.1679199339564.1682188845733.1682200668877.8&amp;__hssc=205977932.4.1682200668877&amp;__hsfp=3642558235" xr:uid="{B14030AA-A132-4376-AFD4-318B10F852D3}"/>
    <hyperlink ref="C92" r:id="rId178" display="https://www.baseball-reference.com/teams/KCR/2022.shtml?__hstc=205977932.44b38330ec7980febccadd4973af5225.1679199339564.1682188845733.1682200668877.8&amp;__hssc=205977932.4.1682200668877&amp;__hsfp=3642558235" xr:uid="{14FCFF72-5365-4198-A333-8C1EEB2D3386}"/>
    <hyperlink ref="A93" r:id="rId179" display="https://www.baseball-reference.com/boxes/KCA/KCA202207220.shtml?__hstc=205977932.44b38330ec7980febccadd4973af5225.1679199339564.1682188845733.1682200668877.8&amp;__hssc=205977932.4.1682200668877&amp;__hsfp=3642558235" xr:uid="{6EAE71A6-F678-4E42-988D-7CF28F440119}"/>
    <hyperlink ref="C93" r:id="rId180" display="https://www.baseball-reference.com/teams/KCR/2022.shtml?__hstc=205977932.44b38330ec7980febccadd4973af5225.1679199339564.1682188845733.1682200668877.8&amp;__hssc=205977932.4.1682200668877&amp;__hsfp=3642558235" xr:uid="{08434973-95A0-4FFE-8FDF-5107ADE5DB13}"/>
    <hyperlink ref="A94" r:id="rId181" display="https://www.baseball-reference.com/boxes/TBA/TBA202207170.shtml?__hstc=205977932.44b38330ec7980febccadd4973af5225.1679199339564.1682188845733.1682200668877.8&amp;__hssc=205977932.4.1682200668877&amp;__hsfp=3642558235" xr:uid="{FE9A8381-41C8-4FDB-B2ED-77F578205400}"/>
    <hyperlink ref="C94" r:id="rId182" display="https://www.baseball-reference.com/teams/BAL/2022.shtml?__hstc=205977932.44b38330ec7980febccadd4973af5225.1679199339564.1682188845733.1682200668877.8&amp;__hssc=205977932.4.1682200668877&amp;__hsfp=3642558235" xr:uid="{61E5E56F-7E59-4ABF-A186-368456E341C0}"/>
    <hyperlink ref="A95" r:id="rId183" display="https://www.baseball-reference.com/boxes/TBA/TBA202207160.shtml?__hstc=205977932.44b38330ec7980febccadd4973af5225.1679199339564.1682188845733.1682200668877.8&amp;__hssc=205977932.4.1682200668877&amp;__hsfp=3642558235" xr:uid="{96395B0B-59E7-427F-A51D-FB1E461FAE70}"/>
    <hyperlink ref="C95" r:id="rId184" display="https://www.baseball-reference.com/teams/BAL/2022.shtml?__hstc=205977932.44b38330ec7980febccadd4973af5225.1679199339564.1682188845733.1682200668877.8&amp;__hssc=205977932.4.1682200668877&amp;__hsfp=3642558235" xr:uid="{19779A9F-F9F1-4F2B-9EE1-1BB09094C7DB}"/>
    <hyperlink ref="A96" r:id="rId185" display="https://www.baseball-reference.com/boxes/TBA/TBA202207150.shtml?__hstc=205977932.44b38330ec7980febccadd4973af5225.1679199339564.1682188845733.1682200668877.8&amp;__hssc=205977932.4.1682200668877&amp;__hsfp=3642558235" xr:uid="{1C5524F3-10B4-47D7-8C4A-6EFB547E4A16}"/>
    <hyperlink ref="C96" r:id="rId186" display="https://www.baseball-reference.com/teams/BAL/2022.shtml?__hstc=205977932.44b38330ec7980febccadd4973af5225.1679199339564.1682188845733.1682200668877.8&amp;__hssc=205977932.4.1682200668877&amp;__hsfp=3642558235" xr:uid="{3BEB7B5B-AD35-4FFC-8B9D-90C42CC40CFD}"/>
    <hyperlink ref="A97" r:id="rId187" display="https://www.baseball-reference.com/boxes/TBA/TBA202207140.shtml?__hstc=205977932.44b38330ec7980febccadd4973af5225.1679199339564.1682188845733.1682200668877.8&amp;__hssc=205977932.4.1682200668877&amp;__hsfp=3642558235" xr:uid="{45040B7D-ED47-4CB0-A958-8C591DECE458}"/>
    <hyperlink ref="C97" r:id="rId188" display="https://www.baseball-reference.com/teams/BOS/2022.shtml?__hstc=205977932.44b38330ec7980febccadd4973af5225.1679199339564.1682188845733.1682200668877.8&amp;__hssc=205977932.4.1682200668877&amp;__hsfp=3642558235" xr:uid="{8F85B073-4576-4D88-BA85-641A83F8D6C8}"/>
    <hyperlink ref="A98" r:id="rId189" display="https://www.baseball-reference.com/boxes/TBA/TBA202207130.shtml?__hstc=205977932.44b38330ec7980febccadd4973af5225.1679199339564.1682188845733.1682200668877.8&amp;__hssc=205977932.4.1682200668877&amp;__hsfp=3642558235" xr:uid="{3D9CC2EB-8E03-42D2-A5E0-5510C2C5BED6}"/>
    <hyperlink ref="C98" r:id="rId190" display="https://www.baseball-reference.com/teams/BOS/2022.shtml?__hstc=205977932.44b38330ec7980febccadd4973af5225.1679199339564.1682188845733.1682200668877.8&amp;__hssc=205977932.4.1682200668877&amp;__hsfp=3642558235" xr:uid="{60D18B21-955A-4879-AE2C-FDB25BCDA8B9}"/>
    <hyperlink ref="A99" r:id="rId191" display="https://www.baseball-reference.com/boxes/TBA/TBA202207120.shtml?__hstc=205977932.44b38330ec7980febccadd4973af5225.1679199339564.1682188845733.1682200668877.8&amp;__hssc=205977932.4.1682200668877&amp;__hsfp=3642558235" xr:uid="{CD2D2F42-4454-4226-B0D4-E40F0860FF05}"/>
    <hyperlink ref="C99" r:id="rId192" display="https://www.baseball-reference.com/teams/BOS/2022.shtml?__hstc=205977932.44b38330ec7980febccadd4973af5225.1679199339564.1682188845733.1682200668877.8&amp;__hssc=205977932.4.1682200668877&amp;__hsfp=3642558235" xr:uid="{E0FFF67D-C15A-4E43-8E6E-9C0862BC88D3}"/>
    <hyperlink ref="A100" r:id="rId193" display="https://www.baseball-reference.com/boxes/TBA/TBA202207110.shtml?__hstc=205977932.44b38330ec7980febccadd4973af5225.1679199339564.1682188845733.1682200668877.8&amp;__hssc=205977932.4.1682200668877&amp;__hsfp=3642558235" xr:uid="{AEACB376-C1C6-46FA-BCD0-AE38061C4DC4}"/>
    <hyperlink ref="C100" r:id="rId194" display="https://www.baseball-reference.com/teams/BOS/2022.shtml?__hstc=205977932.44b38330ec7980febccadd4973af5225.1679199339564.1682188845733.1682200668877.8&amp;__hssc=205977932.4.1682200668877&amp;__hsfp=3642558235" xr:uid="{7168155C-4080-4171-B44B-03F9A392917F}"/>
    <hyperlink ref="A101" r:id="rId195" display="https://www.baseball-reference.com/boxes/CIN/CIN202207100.shtml?__hstc=205977932.44b38330ec7980febccadd4973af5225.1679199339564.1682188845733.1682200668877.8&amp;__hssc=205977932.4.1682200668877&amp;__hsfp=3642558235" xr:uid="{793E8143-09B1-465A-8626-9C3FF4EE5ED0}"/>
    <hyperlink ref="C101" r:id="rId196" display="https://www.baseball-reference.com/teams/CIN/2022.shtml?__hstc=205977932.44b38330ec7980febccadd4973af5225.1679199339564.1682188845733.1682200668877.8&amp;__hssc=205977932.4.1682200668877&amp;__hsfp=3642558235" xr:uid="{5BB07A59-FAF8-4877-89F8-7FB6BD67EB13}"/>
    <hyperlink ref="A102" r:id="rId197" display="https://www.baseball-reference.com/boxes/CIN/CIN202207090.shtml?__hstc=205977932.44b38330ec7980febccadd4973af5225.1679199339564.1682188845733.1682200668877.8&amp;__hssc=205977932.4.1682200668877&amp;__hsfp=3642558235" xr:uid="{AA527839-B594-4E95-A3BB-D843A976733D}"/>
    <hyperlink ref="C102" r:id="rId198" display="https://www.baseball-reference.com/teams/CIN/2022.shtml?__hstc=205977932.44b38330ec7980febccadd4973af5225.1679199339564.1682188845733.1682200668877.8&amp;__hssc=205977932.4.1682200668877&amp;__hsfp=3642558235" xr:uid="{4D399F14-A230-4F9C-801C-76280EE8E16D}"/>
    <hyperlink ref="A103" r:id="rId199" display="https://www.baseball-reference.com/boxes/CIN/CIN202207080.shtml?__hstc=205977932.44b38330ec7980febccadd4973af5225.1679199339564.1682188845733.1682200668877.8&amp;__hssc=205977932.4.1682200668877&amp;__hsfp=3642558235" xr:uid="{E31B480F-2330-4F58-A976-6A603BD365A5}"/>
    <hyperlink ref="C103" r:id="rId200" display="https://www.baseball-reference.com/teams/CIN/2022.shtml?__hstc=205977932.44b38330ec7980febccadd4973af5225.1679199339564.1682188845733.1682200668877.8&amp;__hssc=205977932.4.1682200668877&amp;__hsfp=3642558235" xr:uid="{D056F659-33B1-4A1D-BD8E-5439D6E4EFD1}"/>
    <hyperlink ref="A104" r:id="rId201" display="https://www.baseball-reference.com/boxes/BOS/BOS202207060.shtml?__hstc=205977932.44b38330ec7980febccadd4973af5225.1679199339564.1682188845733.1682200668877.8&amp;__hssc=205977932.4.1682200668877&amp;__hsfp=3642558235" xr:uid="{C1474685-BC99-4A73-87C3-980073583DEB}"/>
    <hyperlink ref="C104" r:id="rId202" display="https://www.baseball-reference.com/teams/BOS/2022.shtml?__hstc=205977932.44b38330ec7980febccadd4973af5225.1679199339564.1682188845733.1682200668877.8&amp;__hssc=205977932.4.1682200668877&amp;__hsfp=3642558235" xr:uid="{109E7BC9-5AF3-41C7-81CF-4ADDFC2E33D9}"/>
    <hyperlink ref="A105" r:id="rId203" display="https://www.baseball-reference.com/boxes/BOS/BOS202207050.shtml?__hstc=205977932.44b38330ec7980febccadd4973af5225.1679199339564.1682188845733.1682200668877.8&amp;__hssc=205977932.4.1682200668877&amp;__hsfp=3642558235" xr:uid="{99992E1C-50C4-40D1-8B69-BF3872316B85}"/>
    <hyperlink ref="C105" r:id="rId204" display="https://www.baseball-reference.com/teams/BOS/2022.shtml?__hstc=205977932.44b38330ec7980febccadd4973af5225.1679199339564.1682188845733.1682200668877.8&amp;__hssc=205977932.4.1682200668877&amp;__hsfp=3642558235" xr:uid="{D1B201E9-4652-4925-B232-CF0CCE1CBBF3}"/>
    <hyperlink ref="A106" r:id="rId205" display="https://www.baseball-reference.com/boxes/BOS/BOS202207040.shtml?__hstc=205977932.44b38330ec7980febccadd4973af5225.1679199339564.1682188845733.1682200668877.8&amp;__hssc=205977932.4.1682200668877&amp;__hsfp=3642558235" xr:uid="{7AADA033-7FAB-4499-85A1-960F1CFA6639}"/>
    <hyperlink ref="C106" r:id="rId206" display="https://www.baseball-reference.com/teams/BOS/2022.shtml?__hstc=205977932.44b38330ec7980febccadd4973af5225.1679199339564.1682188845733.1682200668877.8&amp;__hssc=205977932.4.1682200668877&amp;__hsfp=3642558235" xr:uid="{E8C4A078-4458-469C-AD56-BBC50B5059DD}"/>
    <hyperlink ref="A107" r:id="rId207" display="https://www.baseball-reference.com/boxes/TOR/TOR202207030.shtml?__hstc=205977932.44b38330ec7980febccadd4973af5225.1679199339564.1682188845733.1682200668877.8&amp;__hssc=205977932.4.1682200668877&amp;__hsfp=3642558235" xr:uid="{8726F8D2-77CE-48D3-ADF0-A349E06B7FB2}"/>
    <hyperlink ref="C107" r:id="rId208" display="https://www.baseball-reference.com/teams/TOR/2022.shtml?__hstc=205977932.44b38330ec7980febccadd4973af5225.1679199339564.1682188845733.1682200668877.8&amp;__hssc=205977932.4.1682200668877&amp;__hsfp=3642558235" xr:uid="{90667A31-E9FE-49FC-B1F5-8A8177E54EDF}"/>
    <hyperlink ref="A108" r:id="rId209" display="https://www.baseball-reference.com/boxes/TOR/TOR202207022.shtml?__hstc=205977932.44b38330ec7980febccadd4973af5225.1679199339564.1682188845733.1682200668877.8&amp;__hssc=205977932.4.1682200668877&amp;__hsfp=3642558235" xr:uid="{1424FD2B-7E1D-4D04-8EDA-A52C18A593F5}"/>
    <hyperlink ref="C108" r:id="rId210" display="https://www.baseball-reference.com/teams/TOR/2022.shtml?__hstc=205977932.44b38330ec7980febccadd4973af5225.1679199339564.1682188845733.1682200668877.8&amp;__hssc=205977932.4.1682200668877&amp;__hsfp=3642558235" xr:uid="{5BA5422F-5985-4278-91F0-632A67F2EFA8}"/>
    <hyperlink ref="A109" r:id="rId211" display="https://www.baseball-reference.com/boxes/TOR/TOR202207021.shtml?__hstc=205977932.44b38330ec7980febccadd4973af5225.1679199339564.1682188845733.1682200668877.8&amp;__hssc=205977932.4.1682200668877&amp;__hsfp=3642558235" xr:uid="{19E2DD8E-066F-46C6-8A50-EC72D2D83257}"/>
    <hyperlink ref="C109" r:id="rId212" display="https://www.baseball-reference.com/teams/TOR/2022.shtml?__hstc=205977932.44b38330ec7980febccadd4973af5225.1679199339564.1682188845733.1682200668877.8&amp;__hssc=205977932.4.1682200668877&amp;__hsfp=3642558235" xr:uid="{8428D88E-C7ED-4A90-9D1C-C35DF3DEA917}"/>
    <hyperlink ref="A110" r:id="rId213" display="https://www.baseball-reference.com/boxes/TOR/TOR202207010.shtml?__hstc=205977932.44b38330ec7980febccadd4973af5225.1679199339564.1682188845733.1682200668877.8&amp;__hssc=205977932.4.1682200668877&amp;__hsfp=3642558235" xr:uid="{7B4443E1-19AD-4913-A3E9-E56551AE7BCF}"/>
    <hyperlink ref="C110" r:id="rId214" display="https://www.baseball-reference.com/teams/TOR/2022.shtml?__hstc=205977932.44b38330ec7980febccadd4973af5225.1679199339564.1682188845733.1682200668877.8&amp;__hssc=205977932.4.1682200668877&amp;__hsfp=3642558235" xr:uid="{1B73115D-33FE-48B7-92DF-8EDD5A882307}"/>
    <hyperlink ref="A111" r:id="rId215" display="https://www.baseball-reference.com/boxes/TOR/TOR202206300.shtml?__hstc=205977932.44b38330ec7980febccadd4973af5225.1679199339564.1682188845733.1682200668877.8&amp;__hssc=205977932.4.1682200668877&amp;__hsfp=3642558235" xr:uid="{669EAB6B-B3E5-4280-9500-583520999B35}"/>
    <hyperlink ref="C111" r:id="rId216" display="https://www.baseball-reference.com/teams/TOR/2022.shtml?__hstc=205977932.44b38330ec7980febccadd4973af5225.1679199339564.1682188845733.1682200668877.8&amp;__hssc=205977932.4.1682200668877&amp;__hsfp=3642558235" xr:uid="{1DE91F80-5F43-4EAD-B10E-FF8C5A02DD29}"/>
    <hyperlink ref="A112" r:id="rId217" display="https://www.baseball-reference.com/boxes/TBA/TBA202206290.shtml?__hstc=205977932.44b38330ec7980febccadd4973af5225.1679199339564.1682188845733.1682200668877.8&amp;__hssc=205977932.4.1682200668877&amp;__hsfp=3642558235" xr:uid="{2F1601BD-03F8-4713-BBA6-12A709495074}"/>
    <hyperlink ref="C112" r:id="rId218" display="https://www.baseball-reference.com/teams/MIL/2022.shtml?__hstc=205977932.44b38330ec7980febccadd4973af5225.1679199339564.1682188845733.1682200668877.8&amp;__hssc=205977932.4.1682200668877&amp;__hsfp=3642558235" xr:uid="{B6087664-0E8E-4CD0-A63D-E21A7862425A}"/>
    <hyperlink ref="A113" r:id="rId219" display="https://www.baseball-reference.com/boxes/TBA/TBA202206280.shtml?__hstc=205977932.44b38330ec7980febccadd4973af5225.1679199339564.1682188845733.1682200668877.8&amp;__hssc=205977932.4.1682200668877&amp;__hsfp=3642558235" xr:uid="{A31796F2-2054-455B-B3CB-03ED8470FBE4}"/>
    <hyperlink ref="C113" r:id="rId220" display="https://www.baseball-reference.com/teams/MIL/2022.shtml?__hstc=205977932.44b38330ec7980febccadd4973af5225.1679199339564.1682188845733.1682200668877.8&amp;__hssc=205977932.4.1682200668877&amp;__hsfp=3642558235" xr:uid="{0DDA0523-83D3-46C7-B275-F84D67EB284F}"/>
    <hyperlink ref="A114" r:id="rId221" display="https://www.baseball-reference.com/boxes/TBA/TBA202206260.shtml?__hstc=205977932.44b38330ec7980febccadd4973af5225.1679199339564.1682188845733.1682200668877.8&amp;__hssc=205977932.4.1682200668877&amp;__hsfp=3642558235" xr:uid="{2903BF32-F08A-4665-9013-2C92664DD396}"/>
    <hyperlink ref="C114" r:id="rId222" display="https://www.baseball-reference.com/teams/PIT/2022.shtml?__hstc=205977932.44b38330ec7980febccadd4973af5225.1679199339564.1682188845733.1682200668877.8&amp;__hssc=205977932.4.1682200668877&amp;__hsfp=3642558235" xr:uid="{49332A61-5102-439D-B4B2-CF2E01C630DF}"/>
    <hyperlink ref="A115" r:id="rId223" display="https://www.baseball-reference.com/boxes/TBA/TBA202206250.shtml?__hstc=205977932.44b38330ec7980febccadd4973af5225.1679199339564.1682188845733.1682200668877.8&amp;__hssc=205977932.4.1682200668877&amp;__hsfp=3642558235" xr:uid="{86F32176-AB98-4176-8116-40C9D444EFDE}"/>
    <hyperlink ref="C115" r:id="rId224" display="https://www.baseball-reference.com/teams/PIT/2022.shtml?__hstc=205977932.44b38330ec7980febccadd4973af5225.1679199339564.1682188845733.1682200668877.8&amp;__hssc=205977932.4.1682200668877&amp;__hsfp=3642558235" xr:uid="{9D044743-C261-4C76-9CE5-529868840D96}"/>
    <hyperlink ref="A116" r:id="rId225" display="https://www.baseball-reference.com/boxes/TBA/TBA202206240.shtml?__hstc=205977932.44b38330ec7980febccadd4973af5225.1679199339564.1682188845733.1682200668877.8&amp;__hssc=205977932.4.1682200668877&amp;__hsfp=3642558235" xr:uid="{EED3C818-E40B-4A59-A4CA-E724B4AA1D7E}"/>
    <hyperlink ref="C116" r:id="rId226" display="https://www.baseball-reference.com/teams/PIT/2022.shtml?__hstc=205977932.44b38330ec7980febccadd4973af5225.1679199339564.1682188845733.1682200668877.8&amp;__hssc=205977932.4.1682200668877&amp;__hsfp=3642558235" xr:uid="{67C89527-AF78-46A7-ADB4-4611B39F5698}"/>
    <hyperlink ref="A117" r:id="rId227" display="https://www.baseball-reference.com/boxes/TBA/TBA202206220.shtml?__hstc=205977932.44b38330ec7980febccadd4973af5225.1679199339564.1682188845733.1682200668877.8&amp;__hssc=205977932.4.1682200668877&amp;__hsfp=3642558235" xr:uid="{551A32E8-24E8-4B3E-A0A3-61830CAF03D5}"/>
    <hyperlink ref="C117" r:id="rId228" display="https://www.baseball-reference.com/teams/NYY/2022.shtml?__hstc=205977932.44b38330ec7980febccadd4973af5225.1679199339564.1682188845733.1682200668877.8&amp;__hssc=205977932.4.1682200668877&amp;__hsfp=3642558235" xr:uid="{07EA7CB0-FFA8-4756-BADE-D6FC82943D51}"/>
    <hyperlink ref="A118" r:id="rId229" display="https://www.baseball-reference.com/boxes/TBA/TBA202206210.shtml?__hstc=205977932.44b38330ec7980febccadd4973af5225.1679199339564.1682188845733.1682200668877.8&amp;__hssc=205977932.4.1682200668877&amp;__hsfp=3642558235" xr:uid="{AAEE533B-9ECC-4B76-87D2-1CB5B63E1479}"/>
    <hyperlink ref="C118" r:id="rId230" display="https://www.baseball-reference.com/teams/NYY/2022.shtml?__hstc=205977932.44b38330ec7980febccadd4973af5225.1679199339564.1682188845733.1682200668877.8&amp;__hssc=205977932.4.1682200668877&amp;__hsfp=3642558235" xr:uid="{B66254FE-FB22-412F-B85C-A5C4A5AE20EC}"/>
    <hyperlink ref="A119" r:id="rId231" display="https://www.baseball-reference.com/boxes/TBA/TBA202206200.shtml?__hstc=205977932.44b38330ec7980febccadd4973af5225.1679199339564.1682188845733.1682200668877.8&amp;__hssc=205977932.4.1682200668877&amp;__hsfp=3642558235" xr:uid="{409B9BC8-149D-461B-834C-49F400543713}"/>
    <hyperlink ref="C119" r:id="rId232" display="https://www.baseball-reference.com/teams/NYY/2022.shtml?__hstc=205977932.44b38330ec7980febccadd4973af5225.1679199339564.1682188845733.1682200668877.8&amp;__hssc=205977932.4.1682200668877&amp;__hsfp=3642558235" xr:uid="{8191D623-00FC-4414-B51B-8771E5E7BF3E}"/>
    <hyperlink ref="A120" r:id="rId233" display="https://www.baseball-reference.com/boxes/BAL/BAL202206190.shtml?__hstc=205977932.44b38330ec7980febccadd4973af5225.1679199339564.1682188845733.1682200668877.8&amp;__hssc=205977932.4.1682200668877&amp;__hsfp=3642558235" xr:uid="{E6B7DB0C-21A8-4A52-A367-CBCF34241C0F}"/>
    <hyperlink ref="C120" r:id="rId234" display="https://www.baseball-reference.com/teams/BAL/2022.shtml?__hstc=205977932.44b38330ec7980febccadd4973af5225.1679199339564.1682188845733.1682200668877.8&amp;__hssc=205977932.4.1682200668877&amp;__hsfp=3642558235" xr:uid="{DB305E24-22E6-46F0-96EE-1F1ECC933EA8}"/>
    <hyperlink ref="A121" r:id="rId235" display="https://www.baseball-reference.com/boxes/BAL/BAL202206180.shtml?__hstc=205977932.44b38330ec7980febccadd4973af5225.1679199339564.1682188845733.1682200668877.8&amp;__hssc=205977932.4.1682200668877&amp;__hsfp=3642558235" xr:uid="{4A09904D-C225-4C60-B005-FD419D024699}"/>
    <hyperlink ref="C121" r:id="rId236" display="https://www.baseball-reference.com/teams/BAL/2022.shtml?__hstc=205977932.44b38330ec7980febccadd4973af5225.1679199339564.1682188845733.1682200668877.8&amp;__hssc=205977932.4.1682200668877&amp;__hsfp=3642558235" xr:uid="{498A3868-AD30-441B-B950-FF818344F4E9}"/>
    <hyperlink ref="A122" r:id="rId237" display="https://www.baseball-reference.com/boxes/BAL/BAL202206170.shtml?__hstc=205977932.44b38330ec7980febccadd4973af5225.1679199339564.1682188845733.1682200668877.8&amp;__hssc=205977932.4.1682200668877&amp;__hsfp=3642558235" xr:uid="{8FFF5DC2-1B12-4A39-964C-37996880624D}"/>
    <hyperlink ref="C122" r:id="rId238" display="https://www.baseball-reference.com/teams/BAL/2022.shtml?__hstc=205977932.44b38330ec7980febccadd4973af5225.1679199339564.1682188845733.1682200668877.8&amp;__hssc=205977932.4.1682200668877&amp;__hsfp=3642558235" xr:uid="{8DE611FC-F113-4517-BD1F-3240293914FE}"/>
    <hyperlink ref="A123" r:id="rId239" display="https://www.baseball-reference.com/boxes/NYA/NYA202206160.shtml?__hstc=205977932.44b38330ec7980febccadd4973af5225.1679199339564.1682188845733.1682200668877.8&amp;__hssc=205977932.4.1682200668877&amp;__hsfp=3642558235" xr:uid="{0D6A8450-5880-4E5E-9D58-10105C8B7BBA}"/>
    <hyperlink ref="C123" r:id="rId240" display="https://www.baseball-reference.com/teams/NYY/2022.shtml?__hstc=205977932.44b38330ec7980febccadd4973af5225.1679199339564.1682188845733.1682200668877.8&amp;__hssc=205977932.4.1682200668877&amp;__hsfp=3642558235" xr:uid="{1AD2570B-C878-4C7B-A15E-79B91C03888F}"/>
    <hyperlink ref="A124" r:id="rId241" display="https://www.baseball-reference.com/boxes/NYA/NYA202206150.shtml?__hstc=205977932.44b38330ec7980febccadd4973af5225.1679199339564.1682188845733.1682200668877.8&amp;__hssc=205977932.4.1682200668877&amp;__hsfp=3642558235" xr:uid="{1B6C1BCD-A55D-4852-BA7C-20A674AEFFFC}"/>
    <hyperlink ref="C124" r:id="rId242" display="https://www.baseball-reference.com/teams/NYY/2022.shtml?__hstc=205977932.44b38330ec7980febccadd4973af5225.1679199339564.1682188845733.1682200668877.8&amp;__hssc=205977932.4.1682200668877&amp;__hsfp=3642558235" xr:uid="{C3A15148-7A10-4819-B2EE-14DFF08B3E0F}"/>
    <hyperlink ref="A125" r:id="rId243" display="https://www.baseball-reference.com/boxes/NYA/NYA202206140.shtml?__hstc=205977932.44b38330ec7980febccadd4973af5225.1679199339564.1682188845733.1682200668877.8&amp;__hssc=205977932.4.1682200668877&amp;__hsfp=3642558235" xr:uid="{DA04776F-1910-4BA1-A78C-2EF71AB221DC}"/>
    <hyperlink ref="C125" r:id="rId244" display="https://www.baseball-reference.com/teams/NYY/2022.shtml?__hstc=205977932.44b38330ec7980febccadd4973af5225.1679199339564.1682188845733.1682200668877.8&amp;__hssc=205977932.4.1682200668877&amp;__hsfp=3642558235" xr:uid="{C64E1E08-BA6E-4A66-97CD-14696C96F006}"/>
    <hyperlink ref="A126" r:id="rId245" display="https://www.baseball-reference.com/boxes/MIN/MIN202206120.shtml?__hstc=205977932.44b38330ec7980febccadd4973af5225.1679199339564.1682188845733.1682200668877.8&amp;__hssc=205977932.4.1682200668877&amp;__hsfp=3642558235" xr:uid="{36F8F1E0-B09C-4A12-A7E1-5E70EDF05D35}"/>
    <hyperlink ref="C126" r:id="rId246" display="https://www.baseball-reference.com/teams/MIN/2022.shtml?__hstc=205977932.44b38330ec7980febccadd4973af5225.1679199339564.1682188845733.1682200668877.8&amp;__hssc=205977932.4.1682200668877&amp;__hsfp=3642558235" xr:uid="{703BBA2E-012E-4620-A58B-2848E3DB0715}"/>
    <hyperlink ref="A127" r:id="rId247" display="https://www.baseball-reference.com/boxes/MIN/MIN202206110.shtml?__hstc=205977932.44b38330ec7980febccadd4973af5225.1679199339564.1682188845733.1682200668877.8&amp;__hssc=205977932.4.1682200668877&amp;__hsfp=3642558235" xr:uid="{2AB2FB3B-6A9D-4771-9165-763C5A20E772}"/>
    <hyperlink ref="C127" r:id="rId248" display="https://www.baseball-reference.com/teams/MIN/2022.shtml?__hstc=205977932.44b38330ec7980febccadd4973af5225.1679199339564.1682188845733.1682200668877.8&amp;__hssc=205977932.4.1682200668877&amp;__hsfp=3642558235" xr:uid="{623AA3CC-E283-4C76-87BD-6EEDB2F75E82}"/>
    <hyperlink ref="A128" r:id="rId249" display="https://www.baseball-reference.com/boxes/MIN/MIN202206100.shtml?__hstc=205977932.44b38330ec7980febccadd4973af5225.1679199339564.1682188845733.1682200668877.8&amp;__hssc=205977932.4.1682200668877&amp;__hsfp=3642558235" xr:uid="{C4A8B39A-ADE8-483D-9A36-E7322B26C432}"/>
    <hyperlink ref="C128" r:id="rId250" display="https://www.baseball-reference.com/teams/MIN/2022.shtml?__hstc=205977932.44b38330ec7980febccadd4973af5225.1679199339564.1682188845733.1682200668877.8&amp;__hssc=205977932.4.1682200668877&amp;__hsfp=3642558235" xr:uid="{752B548A-C73E-468D-9A67-0CCB2AA7039C}"/>
    <hyperlink ref="A129" r:id="rId251" display="https://www.baseball-reference.com/boxes/TBA/TBA202206090.shtml?__hstc=205977932.44b38330ec7980febccadd4973af5225.1679199339564.1682188845733.1682200668877.8&amp;__hssc=205977932.4.1682200668877&amp;__hsfp=3642558235" xr:uid="{26C79BD7-E218-4339-B1E6-4F2A587C67E2}"/>
    <hyperlink ref="C129" r:id="rId252" display="https://www.baseball-reference.com/teams/STL/2022.shtml?__hstc=205977932.44b38330ec7980febccadd4973af5225.1679199339564.1682188845733.1682200668877.8&amp;__hssc=205977932.4.1682200668877&amp;__hsfp=3642558235" xr:uid="{74362B3F-ED25-4F1A-8298-ADC0DE4B523B}"/>
    <hyperlink ref="A130" r:id="rId253" display="https://www.baseball-reference.com/boxes/TBA/TBA202206080.shtml?__hstc=205977932.44b38330ec7980febccadd4973af5225.1679199339564.1682188845733.1682200668877.8&amp;__hssc=205977932.4.1682200668877&amp;__hsfp=3642558235" xr:uid="{F166EFD7-2933-4661-9C6F-E8C46E1F209D}"/>
    <hyperlink ref="C130" r:id="rId254" display="https://www.baseball-reference.com/teams/STL/2022.shtml?__hstc=205977932.44b38330ec7980febccadd4973af5225.1679199339564.1682188845733.1682200668877.8&amp;__hssc=205977932.4.1682200668877&amp;__hsfp=3642558235" xr:uid="{6DCEA895-91FA-4BA8-B640-FBB6850BFB96}"/>
    <hyperlink ref="A131" r:id="rId255" display="https://www.baseball-reference.com/boxes/TBA/TBA202206070.shtml?__hstc=205977932.44b38330ec7980febccadd4973af5225.1679199339564.1682188845733.1682200668877.8&amp;__hssc=205977932.4.1682200668877&amp;__hsfp=3642558235" xr:uid="{C2EF2626-06B5-4725-9F46-97B7B73DA033}"/>
    <hyperlink ref="C131" r:id="rId256" display="https://www.baseball-reference.com/teams/STL/2022.shtml?__hstc=205977932.44b38330ec7980febccadd4973af5225.1679199339564.1682188845733.1682200668877.8&amp;__hssc=205977932.4.1682200668877&amp;__hsfp=3642558235" xr:uid="{FE66A04A-D046-452C-8D2C-8C7F2B76EDB9}"/>
    <hyperlink ref="A132" r:id="rId257" display="https://www.baseball-reference.com/boxes/TBA/TBA202206050.shtml?__hstc=205977932.44b38330ec7980febccadd4973af5225.1679199339564.1682188845733.1682200668877.8&amp;__hssc=205977932.4.1682200668877&amp;__hsfp=3642558235" xr:uid="{3CDA7172-D5CE-4341-900A-2CBCD0D0598A}"/>
    <hyperlink ref="C132" r:id="rId258" display="https://www.baseball-reference.com/teams/CHW/2022.shtml?__hstc=205977932.44b38330ec7980febccadd4973af5225.1679199339564.1682188845733.1682200668877.8&amp;__hssc=205977932.4.1682200668877&amp;__hsfp=3642558235" xr:uid="{55BBD7E0-5259-4AB8-AC9E-33AF342DE085}"/>
    <hyperlink ref="A133" r:id="rId259" display="https://www.baseball-reference.com/boxes/TBA/TBA202206040.shtml?__hstc=205977932.44b38330ec7980febccadd4973af5225.1679199339564.1682188845733.1682200668877.8&amp;__hssc=205977932.4.1682200668877&amp;__hsfp=3642558235" xr:uid="{3DE73BB6-5E18-4E7D-B76A-1C87D3B3DA3E}"/>
    <hyperlink ref="C133" r:id="rId260" display="https://www.baseball-reference.com/teams/CHW/2022.shtml?__hstc=205977932.44b38330ec7980febccadd4973af5225.1679199339564.1682188845733.1682200668877.8&amp;__hssc=205977932.4.1682200668877&amp;__hsfp=3642558235" xr:uid="{5249DC10-729C-418B-BB7C-6D77B8A16A22}"/>
    <hyperlink ref="A134" r:id="rId261" display="https://www.baseball-reference.com/boxes/TBA/TBA202206030.shtml?__hstc=205977932.44b38330ec7980febccadd4973af5225.1679199339564.1682188845733.1682200668877.8&amp;__hssc=205977932.4.1682200668877&amp;__hsfp=3642558235" xr:uid="{D76ADC55-ADFE-49D2-8EA1-95CB4BCF7859}"/>
    <hyperlink ref="C134" r:id="rId262" display="https://www.baseball-reference.com/teams/CHW/2022.shtml?__hstc=205977932.44b38330ec7980febccadd4973af5225.1679199339564.1682188845733.1682200668877.8&amp;__hssc=205977932.4.1682200668877&amp;__hsfp=3642558235" xr:uid="{00E659D1-7EE7-4616-87E5-69EE20A2A4CB}"/>
    <hyperlink ref="A135" r:id="rId263" display="https://www.baseball-reference.com/boxes/TEX/TEX202206020.shtml?__hstc=205977932.44b38330ec7980febccadd4973af5225.1679199339564.1682188845733.1682200668877.8&amp;__hssc=205977932.4.1682200668877&amp;__hsfp=3642558235" xr:uid="{2CD72A70-B8A0-4CE8-8430-4032CC64F228}"/>
    <hyperlink ref="C135" r:id="rId264" display="https://www.baseball-reference.com/teams/TEX/2022.shtml?__hstc=205977932.44b38330ec7980febccadd4973af5225.1679199339564.1682188845733.1682200668877.8&amp;__hssc=205977932.4.1682200668877&amp;__hsfp=3642558235" xr:uid="{5145E247-71F6-4D58-9CDD-1EF4D347FF23}"/>
    <hyperlink ref="A136" r:id="rId265" display="https://www.baseball-reference.com/boxes/TEX/TEX202206010.shtml?__hstc=205977932.44b38330ec7980febccadd4973af5225.1679199339564.1682188845733.1682200668877.8&amp;__hssc=205977932.4.1682200668877&amp;__hsfp=3642558235" xr:uid="{853C0246-105C-4DDC-B0C5-1BCA18C20490}"/>
    <hyperlink ref="C136" r:id="rId266" display="https://www.baseball-reference.com/teams/TEX/2022.shtml?__hstc=205977932.44b38330ec7980febccadd4973af5225.1679199339564.1682188845733.1682200668877.8&amp;__hssc=205977932.4.1682200668877&amp;__hsfp=3642558235" xr:uid="{5D540304-925D-41F8-83FB-7EB81328CD04}"/>
    <hyperlink ref="A137" r:id="rId267" display="https://www.baseball-reference.com/boxes/TEX/TEX202205310.shtml?__hstc=205977932.44b38330ec7980febccadd4973af5225.1679199339564.1682188845733.1682200668877.8&amp;__hssc=205977932.4.1682200668877&amp;__hsfp=3642558235" xr:uid="{3A6F3A5D-B006-4D93-9123-32E44C15017F}"/>
    <hyperlink ref="C137" r:id="rId268" display="https://www.baseball-reference.com/teams/TEX/2022.shtml?__hstc=205977932.44b38330ec7980febccadd4973af5225.1679199339564.1682188845733.1682200668877.8&amp;__hssc=205977932.4.1682200668877&amp;__hsfp=3642558235" xr:uid="{6F3E6DF2-64B7-4405-980C-79EAE4C6B517}"/>
    <hyperlink ref="A138" r:id="rId269" display="https://www.baseball-reference.com/boxes/TEX/TEX202205300.shtml?__hstc=205977932.44b38330ec7980febccadd4973af5225.1679199339564.1682188845733.1682200668877.8&amp;__hssc=205977932.4.1682200668877&amp;__hsfp=3642558235" xr:uid="{DA2ABC65-D6CD-4E80-8516-84DCFC1134FE}"/>
    <hyperlink ref="C138" r:id="rId270" display="https://www.baseball-reference.com/teams/TEX/2022.shtml?__hstc=205977932.44b38330ec7980febccadd4973af5225.1679199339564.1682188845733.1682200668877.8&amp;__hssc=205977932.4.1682200668877&amp;__hsfp=3642558235" xr:uid="{2A769C55-13E1-45D7-A4D9-CDDFC5C9246E}"/>
    <hyperlink ref="A139" r:id="rId271" display="https://www.baseball-reference.com/boxes/TBA/TBA202205290.shtml?__hstc=205977932.44b38330ec7980febccadd4973af5225.1679199339564.1682188845733.1682200668877.8&amp;__hssc=205977932.4.1682200668877&amp;__hsfp=3642558235" xr:uid="{1C0B7612-81C8-45B9-BF8C-E583CFE7E890}"/>
    <hyperlink ref="C139" r:id="rId272" display="https://www.baseball-reference.com/teams/NYY/2022.shtml?__hstc=205977932.44b38330ec7980febccadd4973af5225.1679199339564.1682188845733.1682200668877.8&amp;__hssc=205977932.4.1682200668877&amp;__hsfp=3642558235" xr:uid="{43282AEB-4342-4E7C-A2D7-5F1E9FBD8079}"/>
    <hyperlink ref="A140" r:id="rId273" display="https://www.baseball-reference.com/boxes/TBA/TBA202205280.shtml?__hstc=205977932.44b38330ec7980febccadd4973af5225.1679199339564.1682188845733.1682200668877.8&amp;__hssc=205977932.4.1682200668877&amp;__hsfp=3642558235" xr:uid="{08E54AD2-DDCB-4140-B449-CF36F22BA977}"/>
    <hyperlink ref="C140" r:id="rId274" display="https://www.baseball-reference.com/teams/NYY/2022.shtml?__hstc=205977932.44b38330ec7980febccadd4973af5225.1679199339564.1682188845733.1682200668877.8&amp;__hssc=205977932.4.1682200668877&amp;__hsfp=3642558235" xr:uid="{9F8FB1CE-78CE-4B2C-806C-064CC61062FC}"/>
    <hyperlink ref="A141" r:id="rId275" display="https://www.baseball-reference.com/boxes/TBA/TBA202205270.shtml?__hstc=205977932.44b38330ec7980febccadd4973af5225.1679199339564.1682188845733.1682200668877.8&amp;__hssc=205977932.4.1682200668877&amp;__hsfp=3642558235" xr:uid="{E677EC60-869F-4191-8F05-F4EC50E7F16B}"/>
    <hyperlink ref="C141" r:id="rId276" display="https://www.baseball-reference.com/teams/NYY/2022.shtml?__hstc=205977932.44b38330ec7980febccadd4973af5225.1679199339564.1682188845733.1682200668877.8&amp;__hssc=205977932.4.1682200668877&amp;__hsfp=3642558235" xr:uid="{DA13AA93-131F-4579-A448-82FEE5896D0F}"/>
    <hyperlink ref="A142" r:id="rId277" display="https://www.baseball-reference.com/boxes/TBA/TBA202205260.shtml?__hstc=205977932.44b38330ec7980febccadd4973af5225.1679199339564.1682188845733.1682200668877.8&amp;__hssc=205977932.4.1682200668877&amp;__hsfp=3642558235" xr:uid="{4BF3C812-9F8C-4681-91E5-5AEF31FB2613}"/>
    <hyperlink ref="C142" r:id="rId278" display="https://www.baseball-reference.com/teams/NYY/2022.shtml?__hstc=205977932.44b38330ec7980febccadd4973af5225.1679199339564.1682188845733.1682200668877.8&amp;__hssc=205977932.4.1682200668877&amp;__hsfp=3642558235" xr:uid="{152AEEB4-8477-4121-BDCA-13E51581B52A}"/>
    <hyperlink ref="A143" r:id="rId279" display="https://www.baseball-reference.com/boxes/TBA/TBA202205250.shtml?__hstc=205977932.44b38330ec7980febccadd4973af5225.1679199339564.1682188845733.1682200668877.8&amp;__hssc=205977932.4.1682200668877&amp;__hsfp=3642558235" xr:uid="{238A25F4-E26D-4549-8B68-9BD75BF9D81C}"/>
    <hyperlink ref="C143" r:id="rId280" display="https://www.baseball-reference.com/teams/MIA/2022.shtml?__hstc=205977932.44b38330ec7980febccadd4973af5225.1679199339564.1682188845733.1682200668877.8&amp;__hssc=205977932.4.1682200668877&amp;__hsfp=3642558235" xr:uid="{21D659A8-13B0-48B5-AB0F-6E96ABFEE8B9}"/>
    <hyperlink ref="A144" r:id="rId281" display="https://www.baseball-reference.com/boxes/TBA/TBA202205240.shtml?__hstc=205977932.44b38330ec7980febccadd4973af5225.1679199339564.1682188845733.1682200668877.8&amp;__hssc=205977932.4.1682200668877&amp;__hsfp=3642558235" xr:uid="{CC728C88-C32F-4D2F-8058-7E5D911311D7}"/>
    <hyperlink ref="C144" r:id="rId282" display="https://www.baseball-reference.com/teams/MIA/2022.shtml?__hstc=205977932.44b38330ec7980febccadd4973af5225.1679199339564.1682188845733.1682200668877.8&amp;__hssc=205977932.4.1682200668877&amp;__hsfp=3642558235" xr:uid="{61D0EDA3-6E16-4E9A-9A7A-8594447941AD}"/>
    <hyperlink ref="A145" r:id="rId283" display="https://www.baseball-reference.com/boxes/BAL/BAL202205220.shtml?__hstc=205977932.44b38330ec7980febccadd4973af5225.1679199339564.1682188845733.1682200668877.8&amp;__hssc=205977932.4.1682200668877&amp;__hsfp=3642558235" xr:uid="{AB1973A6-4E81-41B8-8C52-2EBE84A496E0}"/>
    <hyperlink ref="C145" r:id="rId284" display="https://www.baseball-reference.com/teams/BAL/2022.shtml?__hstc=205977932.44b38330ec7980febccadd4973af5225.1679199339564.1682188845733.1682200668877.8&amp;__hssc=205977932.4.1682200668877&amp;__hsfp=3642558235" xr:uid="{83D7BA29-7653-4954-9B43-C0F41127EBAB}"/>
    <hyperlink ref="A146" r:id="rId285" display="https://www.baseball-reference.com/boxes/BAL/BAL202205210.shtml?__hstc=205977932.44b38330ec7980febccadd4973af5225.1679199339564.1682188845733.1682200668877.8&amp;__hssc=205977932.4.1682200668877&amp;__hsfp=3642558235" xr:uid="{0175286B-D387-4D2A-9B4D-E6D0F2209872}"/>
    <hyperlink ref="C146" r:id="rId286" display="https://www.baseball-reference.com/teams/BAL/2022.shtml?__hstc=205977932.44b38330ec7980febccadd4973af5225.1679199339564.1682188845733.1682200668877.8&amp;__hssc=205977932.4.1682200668877&amp;__hsfp=3642558235" xr:uid="{96CA5203-B298-48AF-B742-E7164F06E789}"/>
    <hyperlink ref="A147" r:id="rId287" display="https://www.baseball-reference.com/boxes/BAL/BAL202205200.shtml?__hstc=205977932.44b38330ec7980febccadd4973af5225.1679199339564.1682188845733.1682200668877.8&amp;__hssc=205977932.4.1682200668877&amp;__hsfp=3642558235" xr:uid="{305A0FC6-782F-4F44-81C3-6CC71EE14BBE}"/>
    <hyperlink ref="C147" r:id="rId288" display="https://www.baseball-reference.com/teams/BAL/2022.shtml?__hstc=205977932.44b38330ec7980febccadd4973af5225.1679199339564.1682188845733.1682200668877.8&amp;__hssc=205977932.4.1682200668877&amp;__hsfp=3642558235" xr:uid="{CED119F8-4A97-4D2C-A1E4-184D51BAC075}"/>
    <hyperlink ref="A148" r:id="rId289" display="https://www.baseball-reference.com/boxes/TBA/TBA202205180.shtml?__hstc=205977932.44b38330ec7980febccadd4973af5225.1679199339564.1682188845733.1682200668877.8&amp;__hssc=205977932.4.1682200668877&amp;__hsfp=3642558235" xr:uid="{7C70529C-DCE6-43ED-9C07-7B11B0CE52D5}"/>
    <hyperlink ref="C148" r:id="rId290" display="https://www.baseball-reference.com/teams/DET/2022.shtml?__hstc=205977932.44b38330ec7980febccadd4973af5225.1679199339564.1682188845733.1682200668877.8&amp;__hssc=205977932.4.1682200668877&amp;__hsfp=3642558235" xr:uid="{C68EBB38-F933-471D-8B5F-FD0EECA0D272}"/>
    <hyperlink ref="A149" r:id="rId291" display="https://www.baseball-reference.com/boxes/TBA/TBA202205170.shtml?__hstc=205977932.44b38330ec7980febccadd4973af5225.1679199339564.1682188845733.1682200668877.8&amp;__hssc=205977932.4.1682200668877&amp;__hsfp=3642558235" xr:uid="{BA13B35B-16E7-4858-9DC1-28D0447F8D7C}"/>
    <hyperlink ref="C149" r:id="rId292" display="https://www.baseball-reference.com/teams/DET/2022.shtml?__hstc=205977932.44b38330ec7980febccadd4973af5225.1679199339564.1682188845733.1682200668877.8&amp;__hssc=205977932.4.1682200668877&amp;__hsfp=3642558235" xr:uid="{1A3D1911-D94F-463E-A440-D08C8D7CBDA1}"/>
    <hyperlink ref="A150" r:id="rId293" display="https://www.baseball-reference.com/boxes/TBA/TBA202205160.shtml?__hstc=205977932.44b38330ec7980febccadd4973af5225.1679199339564.1682188845733.1682200668877.8&amp;__hssc=205977932.4.1682200668877&amp;__hsfp=3642558235" xr:uid="{15D12535-117F-4DC7-BDF2-3E35914E09FA}"/>
    <hyperlink ref="C150" r:id="rId294" display="https://www.baseball-reference.com/teams/DET/2022.shtml?__hstc=205977932.44b38330ec7980febccadd4973af5225.1679199339564.1682188845733.1682200668877.8&amp;__hssc=205977932.4.1682200668877&amp;__hsfp=3642558235" xr:uid="{67134FE8-C5D2-45F8-A1D2-E4959AFBD5A3}"/>
    <hyperlink ref="A151" r:id="rId295" display="https://www.baseball-reference.com/boxes/TBA/TBA202205150.shtml?__hstc=205977932.44b38330ec7980febccadd4973af5225.1679199339564.1682188845733.1682200668877.8&amp;__hssc=205977932.4.1682200668877&amp;__hsfp=3642558235" xr:uid="{7F205179-11A9-4E46-AA1F-9F59DBE8DE0B}"/>
    <hyperlink ref="C151" r:id="rId296" display="https://www.baseball-reference.com/teams/TOR/2022.shtml?__hstc=205977932.44b38330ec7980febccadd4973af5225.1679199339564.1682188845733.1682200668877.8&amp;__hssc=205977932.4.1682200668877&amp;__hsfp=3642558235" xr:uid="{75DEC906-23B7-4032-A7FA-D6052C5B402E}"/>
    <hyperlink ref="A152" r:id="rId297" display="https://www.baseball-reference.com/boxes/TBA/TBA202205140.shtml?__hstc=205977932.44b38330ec7980febccadd4973af5225.1679199339564.1682188845733.1682200668877.8&amp;__hssc=205977932.4.1682200668877&amp;__hsfp=3642558235" xr:uid="{8FEC7AFE-456C-4752-A643-6E57961DFFAB}"/>
    <hyperlink ref="C152" r:id="rId298" display="https://www.baseball-reference.com/teams/TOR/2022.shtml?__hstc=205977932.44b38330ec7980febccadd4973af5225.1679199339564.1682188845733.1682200668877.8&amp;__hssc=205977932.4.1682200668877&amp;__hsfp=3642558235" xr:uid="{EA31FF3E-95D9-473A-B58A-A8450989381B}"/>
    <hyperlink ref="A153" r:id="rId299" display="https://www.baseball-reference.com/boxes/TBA/TBA202205130.shtml?__hstc=205977932.44b38330ec7980febccadd4973af5225.1679199339564.1682188845733.1682200668877.8&amp;__hssc=205977932.4.1682200668877&amp;__hsfp=3642558235" xr:uid="{56C36E2C-08E9-48B2-863D-8D4E295CA0DC}"/>
    <hyperlink ref="C153" r:id="rId300" display="https://www.baseball-reference.com/teams/TOR/2022.shtml?__hstc=205977932.44b38330ec7980febccadd4973af5225.1679199339564.1682188845733.1682200668877.8&amp;__hssc=205977932.4.1682200668877&amp;__hsfp=3642558235" xr:uid="{393B22B0-E254-48D3-8172-5E1E332731C2}"/>
    <hyperlink ref="A154" r:id="rId301" display="https://www.baseball-reference.com/boxes/ANA/ANA202205110.shtml?__hstc=205977932.44b38330ec7980febccadd4973af5225.1679199339564.1682188845733.1682200668877.8&amp;__hssc=205977932.4.1682200668877&amp;__hsfp=3642558235" xr:uid="{255D7F60-FA5F-4C5A-B7BC-73B08E3E2F3F}"/>
    <hyperlink ref="C154" r:id="rId302" display="https://www.baseball-reference.com/teams/LAA/2022.shtml?__hstc=205977932.44b38330ec7980febccadd4973af5225.1679199339564.1682188845733.1682200668877.8&amp;__hssc=205977932.4.1682200668877&amp;__hsfp=3642558235" xr:uid="{C6AB7468-5396-4965-8C01-689AE6FCF27A}"/>
    <hyperlink ref="A155" r:id="rId303" display="https://www.baseball-reference.com/boxes/ANA/ANA202205100.shtml?__hstc=205977932.44b38330ec7980febccadd4973af5225.1679199339564.1682188845733.1682200668877.8&amp;__hssc=205977932.4.1682200668877&amp;__hsfp=3642558235" xr:uid="{A8E55294-23A8-4CDE-B2A5-0584D6A60650}"/>
    <hyperlink ref="C155" r:id="rId304" display="https://www.baseball-reference.com/teams/LAA/2022.shtml?__hstc=205977932.44b38330ec7980febccadd4973af5225.1679199339564.1682188845733.1682200668877.8&amp;__hssc=205977932.4.1682200668877&amp;__hsfp=3642558235" xr:uid="{CC223C3F-5565-412A-9242-6643CAA30716}"/>
    <hyperlink ref="A156" r:id="rId305" display="https://www.baseball-reference.com/boxes/ANA/ANA202205090.shtml?__hstc=205977932.44b38330ec7980febccadd4973af5225.1679199339564.1682188845733.1682200668877.8&amp;__hssc=205977932.4.1682200668877&amp;__hsfp=3642558235" xr:uid="{251B87AE-7F12-4EA4-8965-7F4BC0964B1B}"/>
    <hyperlink ref="C156" r:id="rId306" display="https://www.baseball-reference.com/teams/LAA/2022.shtml?__hstc=205977932.44b38330ec7980febccadd4973af5225.1679199339564.1682188845733.1682200668877.8&amp;__hssc=205977932.4.1682200668877&amp;__hsfp=3642558235" xr:uid="{911F9A54-209C-4DE6-8E8F-18750140B692}"/>
    <hyperlink ref="A157" r:id="rId307" display="https://www.baseball-reference.com/boxes/SEA/SEA202205080.shtml?__hstc=205977932.44b38330ec7980febccadd4973af5225.1679199339564.1682188845733.1682200668877.8&amp;__hssc=205977932.4.1682200668877&amp;__hsfp=3642558235" xr:uid="{012A9C3C-5E6A-4E7F-81B6-1DAAFD1518A0}"/>
    <hyperlink ref="C157" r:id="rId308" display="https://www.baseball-reference.com/teams/SEA/2022.shtml?__hstc=205977932.44b38330ec7980febccadd4973af5225.1679199339564.1682188845733.1682200668877.8&amp;__hssc=205977932.4.1682200668877&amp;__hsfp=3642558235" xr:uid="{7827AF93-9ED8-4747-8B65-606767C7FC47}"/>
    <hyperlink ref="A158" r:id="rId309" display="https://www.baseball-reference.com/boxes/SEA/SEA202205070.shtml?__hstc=205977932.44b38330ec7980febccadd4973af5225.1679199339564.1682188845733.1682200668877.8&amp;__hssc=205977932.4.1682200668877&amp;__hsfp=3642558235" xr:uid="{4C5EF057-2789-4A57-87F8-C44563DA54D9}"/>
    <hyperlink ref="C158" r:id="rId310" display="https://www.baseball-reference.com/teams/SEA/2022.shtml?__hstc=205977932.44b38330ec7980febccadd4973af5225.1679199339564.1682188845733.1682200668877.8&amp;__hssc=205977932.4.1682200668877&amp;__hsfp=3642558235" xr:uid="{92EE3DB2-BE2A-41B5-B871-D2BFD81F0D85}"/>
    <hyperlink ref="A159" r:id="rId311" display="https://www.baseball-reference.com/boxes/SEA/SEA202205060.shtml?__hstc=205977932.44b38330ec7980febccadd4973af5225.1679199339564.1682188845733.1682200668877.8&amp;__hssc=205977932.4.1682200668877&amp;__hsfp=3642558235" xr:uid="{7CBA46BB-5D18-41DC-8F4E-5C205D42E6AD}"/>
    <hyperlink ref="C159" r:id="rId312" display="https://www.baseball-reference.com/teams/SEA/2022.shtml?__hstc=205977932.44b38330ec7980febccadd4973af5225.1679199339564.1682188845733.1682200668877.8&amp;__hssc=205977932.4.1682200668877&amp;__hsfp=3642558235" xr:uid="{DD0BF93A-4AD9-447D-92C1-AA928C87EEF1}"/>
    <hyperlink ref="A160" r:id="rId313" display="https://www.baseball-reference.com/boxes/SEA/SEA202205050.shtml?__hstc=205977932.44b38330ec7980febccadd4973af5225.1679199339564.1682188845733.1682200668877.8&amp;__hssc=205977932.4.1682200668877&amp;__hsfp=3642558235" xr:uid="{614A79A4-3CD9-4A82-A036-65F726CC50F6}"/>
    <hyperlink ref="C160" r:id="rId314" display="https://www.baseball-reference.com/teams/SEA/2022.shtml?__hstc=205977932.44b38330ec7980febccadd4973af5225.1679199339564.1682188845733.1682200668877.8&amp;__hssc=205977932.4.1682200668877&amp;__hsfp=3642558235" xr:uid="{C45222DF-AFB7-4D87-84AD-5B0CD5D89F7C}"/>
    <hyperlink ref="A161" r:id="rId315" display="https://www.baseball-reference.com/boxes/OAK/OAK202205040.shtml?__hstc=205977932.44b38330ec7980febccadd4973af5225.1679199339564.1682188845733.1682200668877.8&amp;__hssc=205977932.4.1682200668877&amp;__hsfp=3642558235" xr:uid="{91F441BE-041C-4671-A7C3-014E4F36EC8B}"/>
    <hyperlink ref="C161" r:id="rId316" display="https://www.baseball-reference.com/teams/OAK/2022.shtml?__hstc=205977932.44b38330ec7980febccadd4973af5225.1679199339564.1682188845733.1682200668877.8&amp;__hssc=205977932.4.1682200668877&amp;__hsfp=3642558235" xr:uid="{40F57522-0FB7-44FC-923F-D7D27AEB65A7}"/>
    <hyperlink ref="A162" r:id="rId317" display="https://www.baseball-reference.com/boxes/OAK/OAK202205030.shtml?__hstc=205977932.44b38330ec7980febccadd4973af5225.1679199339564.1682188845733.1682200668877.8&amp;__hssc=205977932.4.1682200668877&amp;__hsfp=3642558235" xr:uid="{8B851F2B-09A0-4FEF-87B1-0742F334702C}"/>
    <hyperlink ref="C162" r:id="rId318" display="https://www.baseball-reference.com/teams/OAK/2022.shtml?__hstc=205977932.44b38330ec7980febccadd4973af5225.1679199339564.1682188845733.1682200668877.8&amp;__hssc=205977932.4.1682200668877&amp;__hsfp=3642558235" xr:uid="{DED9610F-650C-42C1-91D7-D6FFB8D2B539}"/>
    <hyperlink ref="A163" r:id="rId319" display="https://www.baseball-reference.com/boxes/OAK/OAK202205020.shtml?__hstc=205977932.44b38330ec7980febccadd4973af5225.1679199339564.1682188845733.1682200668877.8&amp;__hssc=205977932.4.1682200668877&amp;__hsfp=3642558235" xr:uid="{3B91373A-2F42-45A1-BA43-D0110900809A}"/>
    <hyperlink ref="C163" r:id="rId320" display="https://www.baseball-reference.com/teams/OAK/2022.shtml?__hstc=205977932.44b38330ec7980febccadd4973af5225.1679199339564.1682188845733.1682200668877.8&amp;__hssc=205977932.4.1682200668877&amp;__hsfp=3642558235" xr:uid="{C26CA4CA-BC0F-41DC-9B23-B71C22C2BBAA}"/>
    <hyperlink ref="A164" r:id="rId321" display="https://www.baseball-reference.com/boxes/TBA/TBA202205010.shtml?__hstc=205977932.44b38330ec7980febccadd4973af5225.1679199339564.1682188845733.1682200668877.8&amp;__hssc=205977932.4.1682200668877&amp;__hsfp=3642558235" xr:uid="{EA9307B8-9FD6-4716-950B-5B9A25A6C3A3}"/>
    <hyperlink ref="C164" r:id="rId322" display="https://www.baseball-reference.com/teams/MIN/2022.shtml?__hstc=205977932.44b38330ec7980febccadd4973af5225.1679199339564.1682188845733.1682200668877.8&amp;__hssc=205977932.4.1682200668877&amp;__hsfp=3642558235" xr:uid="{35FABC2D-D14F-4CFA-B719-1DAE0073F831}"/>
    <hyperlink ref="A165" r:id="rId323" display="https://www.baseball-reference.com/boxes/TBA/TBA202204300.shtml?__hstc=205977932.44b38330ec7980febccadd4973af5225.1679199339564.1682188845733.1682200668877.8&amp;__hssc=205977932.4.1682200668877&amp;__hsfp=3642558235" xr:uid="{8CE275E3-56D7-4D3A-A080-418F539D4590}"/>
    <hyperlink ref="C165" r:id="rId324" display="https://www.baseball-reference.com/teams/MIN/2022.shtml?__hstc=205977932.44b38330ec7980febccadd4973af5225.1679199339564.1682188845733.1682200668877.8&amp;__hssc=205977932.4.1682200668877&amp;__hsfp=3642558235" xr:uid="{FC783925-85DE-434E-B84B-2D93F3232E52}"/>
    <hyperlink ref="A166" r:id="rId325" display="https://www.baseball-reference.com/boxes/TBA/TBA202204290.shtml?__hstc=205977932.44b38330ec7980febccadd4973af5225.1679199339564.1682188845733.1682200668877.8&amp;__hssc=205977932.4.1682200668877&amp;__hsfp=3642558235" xr:uid="{646837D6-23ED-45DF-A8BC-25E0EF6D5A48}"/>
    <hyperlink ref="C166" r:id="rId326" display="https://www.baseball-reference.com/teams/MIN/2022.shtml?__hstc=205977932.44b38330ec7980febccadd4973af5225.1679199339564.1682188845733.1682200668877.8&amp;__hssc=205977932.4.1682200668877&amp;__hsfp=3642558235" xr:uid="{90B86298-2816-441E-B9BA-F8069A1368CC}"/>
    <hyperlink ref="A167" r:id="rId327" display="https://www.baseball-reference.com/boxes/TBA/TBA202204280.shtml?__hstc=205977932.44b38330ec7980febccadd4973af5225.1679199339564.1682188845733.1682200668877.8&amp;__hssc=205977932.4.1682200668877&amp;__hsfp=3642558235" xr:uid="{D401D26D-59D9-4FB3-9F22-7B90CE203F9F}"/>
    <hyperlink ref="C167" r:id="rId328" display="https://www.baseball-reference.com/teams/SEA/2022.shtml?__hstc=205977932.44b38330ec7980febccadd4973af5225.1679199339564.1682188845733.1682200668877.8&amp;__hssc=205977932.4.1682200668877&amp;__hsfp=3642558235" xr:uid="{A1352BA6-E9C3-467D-8188-066CBFC9DC5C}"/>
    <hyperlink ref="A168" r:id="rId329" display="https://www.baseball-reference.com/boxes/TBA/TBA202204270.shtml?__hstc=205977932.44b38330ec7980febccadd4973af5225.1679199339564.1682188845733.1682200668877.8&amp;__hssc=205977932.4.1682200668877&amp;__hsfp=3642558235" xr:uid="{77626A2B-C608-4A6F-B1A9-42DE907AA8CE}"/>
    <hyperlink ref="C168" r:id="rId330" display="https://www.baseball-reference.com/teams/SEA/2022.shtml?__hstc=205977932.44b38330ec7980febccadd4973af5225.1679199339564.1682188845733.1682200668877.8&amp;__hssc=205977932.4.1682200668877&amp;__hsfp=3642558235" xr:uid="{0D07D008-D8DE-4D68-9868-A798AFCDE79C}"/>
    <hyperlink ref="A169" r:id="rId331" display="https://www.baseball-reference.com/boxes/TBA/TBA202204260.shtml?__hstc=205977932.44b38330ec7980febccadd4973af5225.1679199339564.1682188845733.1682200668877.8&amp;__hssc=205977932.4.1682200668877&amp;__hsfp=3642558235" xr:uid="{56363E16-8AEA-4555-B23C-316EFFB53874}"/>
    <hyperlink ref="C169" r:id="rId332" display="https://www.baseball-reference.com/teams/SEA/2022.shtml?__hstc=205977932.44b38330ec7980febccadd4973af5225.1679199339564.1682188845733.1682200668877.8&amp;__hssc=205977932.4.1682200668877&amp;__hsfp=3642558235" xr:uid="{AC87CE75-EBD7-4419-9427-0F3F99AC7CE6}"/>
    <hyperlink ref="A170" r:id="rId333" display="https://www.baseball-reference.com/boxes/TBA/TBA202204240.shtml?__hstc=205977932.44b38330ec7980febccadd4973af5225.1679199339564.1682188845733.1682200668877.8&amp;__hssc=205977932.4.1682200668877&amp;__hsfp=3642558235" xr:uid="{D76E6A52-9F8B-45D2-A549-C0F54A3E5712}"/>
    <hyperlink ref="C170" r:id="rId334" display="https://www.baseball-reference.com/teams/BOS/2022.shtml?__hstc=205977932.44b38330ec7980febccadd4973af5225.1679199339564.1682188845733.1682200668877.8&amp;__hssc=205977932.4.1682200668877&amp;__hsfp=3642558235" xr:uid="{DA8C2EDC-9201-48BE-82A1-12BD6F8B3820}"/>
    <hyperlink ref="A171" r:id="rId335" display="https://www.baseball-reference.com/boxes/TBA/TBA202204230.shtml?__hstc=205977932.44b38330ec7980febccadd4973af5225.1679199339564.1682188845733.1682200668877.8&amp;__hssc=205977932.4.1682200668877&amp;__hsfp=3642558235" xr:uid="{1B4A4597-38B0-478B-86EF-19B10624455C}"/>
    <hyperlink ref="C171" r:id="rId336" display="https://www.baseball-reference.com/teams/BOS/2022.shtml?__hstc=205977932.44b38330ec7980febccadd4973af5225.1679199339564.1682188845733.1682200668877.8&amp;__hssc=205977932.4.1682200668877&amp;__hsfp=3642558235" xr:uid="{239BD279-0D79-46F4-87B7-8F904FEAF8FF}"/>
    <hyperlink ref="A172" r:id="rId337" display="https://www.baseball-reference.com/boxes/TBA/TBA202204220.shtml?__hstc=205977932.44b38330ec7980febccadd4973af5225.1679199339564.1682188845733.1682200668877.8&amp;__hssc=205977932.4.1682200668877&amp;__hsfp=3642558235" xr:uid="{B7FCD091-1E1D-4439-ACAA-D56F67489FCF}"/>
    <hyperlink ref="C172" r:id="rId338" display="https://www.baseball-reference.com/teams/BOS/2022.shtml?__hstc=205977932.44b38330ec7980febccadd4973af5225.1679199339564.1682188845733.1682200668877.8&amp;__hssc=205977932.4.1682200668877&amp;__hsfp=3642558235" xr:uid="{B1846424-7824-4437-AE1E-690DAF3C29E0}"/>
    <hyperlink ref="A173" r:id="rId339" display="https://www.baseball-reference.com/boxes/CHN/CHN202204200.shtml?__hstc=205977932.44b38330ec7980febccadd4973af5225.1679199339564.1682188845733.1682200668877.8&amp;__hssc=205977932.4.1682200668877&amp;__hsfp=3642558235" xr:uid="{445CF0B6-97BF-4AB4-A83F-58BC213240EE}"/>
    <hyperlink ref="C173" r:id="rId340" display="https://www.baseball-reference.com/teams/CHC/2022.shtml?__hstc=205977932.44b38330ec7980febccadd4973af5225.1679199339564.1682188845733.1682200668877.8&amp;__hssc=205977932.4.1682200668877&amp;__hsfp=3642558235" xr:uid="{773267C0-AB8B-4904-81B0-F0D0F6AAD74A}"/>
    <hyperlink ref="A174" r:id="rId341" display="https://www.baseball-reference.com/boxes/CHN/CHN202204190.shtml?__hstc=205977932.44b38330ec7980febccadd4973af5225.1679199339564.1682188845733.1682200668877.8&amp;__hssc=205977932.4.1682200668877&amp;__hsfp=3642558235" xr:uid="{7776B258-C887-4E3F-858A-E83949F194A4}"/>
    <hyperlink ref="C174" r:id="rId342" display="https://www.baseball-reference.com/teams/CHC/2022.shtml?__hstc=205977932.44b38330ec7980febccadd4973af5225.1679199339564.1682188845733.1682200668877.8&amp;__hssc=205977932.4.1682200668877&amp;__hsfp=3642558235" xr:uid="{D83115B4-1890-4D08-A993-9FA7E7137A81}"/>
    <hyperlink ref="A175" r:id="rId343" display="https://www.baseball-reference.com/boxes/CHN/CHN202204180.shtml?__hstc=205977932.44b38330ec7980febccadd4973af5225.1679199339564.1682188845733.1682200668877.8&amp;__hssc=205977932.4.1682200668877&amp;__hsfp=3642558235" xr:uid="{A0AE4081-6B13-4C4E-8AA2-DE3578B018C6}"/>
    <hyperlink ref="C175" r:id="rId344" display="https://www.baseball-reference.com/teams/CHC/2022.shtml?__hstc=205977932.44b38330ec7980febccadd4973af5225.1679199339564.1682188845733.1682200668877.8&amp;__hssc=205977932.4.1682200668877&amp;__hsfp=3642558235" xr:uid="{A0860D6D-E868-4B76-856C-B7B4FE6F0CCE}"/>
    <hyperlink ref="A176" r:id="rId345" display="https://www.baseball-reference.com/boxes/CHA/CHA202204170.shtml?__hstc=205977932.44b38330ec7980febccadd4973af5225.1679199339564.1682188845733.1682200668877.8&amp;__hssc=205977932.4.1682200668877&amp;__hsfp=3642558235" xr:uid="{3D426CB7-7473-435F-ACA7-414AC8DDA75C}"/>
    <hyperlink ref="C176" r:id="rId346" display="https://www.baseball-reference.com/teams/CHW/2022.shtml?__hstc=205977932.44b38330ec7980febccadd4973af5225.1679199339564.1682188845733.1682200668877.8&amp;__hssc=205977932.4.1682200668877&amp;__hsfp=3642558235" xr:uid="{213F2D54-6DE6-4EAC-B246-4E3E0CE69B28}"/>
    <hyperlink ref="A177" r:id="rId347" display="https://www.baseball-reference.com/boxes/CHA/CHA202204160.shtml?__hstc=205977932.44b38330ec7980febccadd4973af5225.1679199339564.1682188845733.1682200668877.8&amp;__hssc=205977932.4.1682200668877&amp;__hsfp=3642558235" xr:uid="{DB167A17-B30B-4373-B260-452D4BB45244}"/>
    <hyperlink ref="C177" r:id="rId348" display="https://www.baseball-reference.com/teams/CHW/2022.shtml?__hstc=205977932.44b38330ec7980febccadd4973af5225.1679199339564.1682188845733.1682200668877.8&amp;__hssc=205977932.4.1682200668877&amp;__hsfp=3642558235" xr:uid="{05CAEB1C-14E9-4EE0-86FE-96C4A7701EA2}"/>
    <hyperlink ref="A178" r:id="rId349" display="https://www.baseball-reference.com/boxes/CHA/CHA202204150.shtml?__hstc=205977932.44b38330ec7980febccadd4973af5225.1679199339564.1682188845733.1682200668877.8&amp;__hssc=205977932.4.1682200668877&amp;__hsfp=3642558235" xr:uid="{4993B461-D03A-4C26-BFA4-255D9D05B7FA}"/>
    <hyperlink ref="C178" r:id="rId350" display="https://www.baseball-reference.com/teams/CHW/2022.shtml?__hstc=205977932.44b38330ec7980febccadd4973af5225.1679199339564.1682188845733.1682200668877.8&amp;__hssc=205977932.4.1682200668877&amp;__hsfp=3642558235" xr:uid="{8ED591E2-D219-41A4-B8E4-B9DA9E910F95}"/>
    <hyperlink ref="A179" r:id="rId351" display="https://www.baseball-reference.com/boxes/TBA/TBA202204140.shtml?__hstc=205977932.44b38330ec7980febccadd4973af5225.1679199339564.1682188845733.1682200668877.8&amp;__hssc=205977932.4.1682200668877&amp;__hsfp=3642558235" xr:uid="{84518B0B-5D61-4157-A059-5EA59CF476C8}"/>
    <hyperlink ref="C179" r:id="rId352" display="https://www.baseball-reference.com/teams/OAK/2022.shtml?__hstc=205977932.44b38330ec7980febccadd4973af5225.1679199339564.1682188845733.1682200668877.8&amp;__hssc=205977932.4.1682200668877&amp;__hsfp=3642558235" xr:uid="{6A237508-F22C-42D2-863A-C521D1315EB8}"/>
    <hyperlink ref="A180" r:id="rId353" display="https://www.baseball-reference.com/boxes/TBA/TBA202204130.shtml?__hstc=205977932.44b38330ec7980febccadd4973af5225.1679199339564.1682188845733.1682200668877.8&amp;__hssc=205977932.4.1682200668877&amp;__hsfp=3642558235" xr:uid="{682EFB17-CA7E-4827-AF2B-966ED359F13C}"/>
    <hyperlink ref="C180" r:id="rId354" display="https://www.baseball-reference.com/teams/OAK/2022.shtml?__hstc=205977932.44b38330ec7980febccadd4973af5225.1679199339564.1682188845733.1682200668877.8&amp;__hssc=205977932.4.1682200668877&amp;__hsfp=3642558235" xr:uid="{6FC7B568-7211-4E84-A54F-1643D132664D}"/>
    <hyperlink ref="A181" r:id="rId355" display="https://www.baseball-reference.com/boxes/TBA/TBA202204120.shtml?__hstc=205977932.44b38330ec7980febccadd4973af5225.1679199339564.1682188845733.1682200668877.8&amp;__hssc=205977932.4.1682200668877&amp;__hsfp=3642558235" xr:uid="{2EAAA0B5-143D-4219-A1F7-6D7E77EEF0A0}"/>
    <hyperlink ref="C181" r:id="rId356" display="https://www.baseball-reference.com/teams/OAK/2022.shtml?__hstc=205977932.44b38330ec7980febccadd4973af5225.1679199339564.1682188845733.1682200668877.8&amp;__hssc=205977932.4.1682200668877&amp;__hsfp=3642558235" xr:uid="{C45FC739-EA39-4F93-82EF-BCC31D260757}"/>
    <hyperlink ref="A182" r:id="rId357" display="https://www.baseball-reference.com/boxes/TBA/TBA202204110.shtml?__hstc=205977932.44b38330ec7980febccadd4973af5225.1679199339564.1682188845733.1682200668877.8&amp;__hssc=205977932.4.1682200668877&amp;__hsfp=3642558235" xr:uid="{D3979180-920E-414E-B3A2-2849907012F8}"/>
    <hyperlink ref="C182" r:id="rId358" display="https://www.baseball-reference.com/teams/OAK/2022.shtml?__hstc=205977932.44b38330ec7980febccadd4973af5225.1679199339564.1682188845733.1682200668877.8&amp;__hssc=205977932.4.1682200668877&amp;__hsfp=3642558235" xr:uid="{2CDF16E5-DC2D-41E4-8FA4-4CD25B21E611}"/>
    <hyperlink ref="A183" r:id="rId359" display="https://www.baseball-reference.com/boxes/TBA/TBA202204100.shtml?__hstc=205977932.44b38330ec7980febccadd4973af5225.1679199339564.1682188845733.1682200668877.8&amp;__hssc=205977932.4.1682200668877&amp;__hsfp=3642558235" xr:uid="{34506524-B0D3-40DA-9086-EAA36A3AA986}"/>
    <hyperlink ref="C183" r:id="rId360" display="https://www.baseball-reference.com/teams/BAL/2022.shtml?__hstc=205977932.44b38330ec7980febccadd4973af5225.1679199339564.1682188845733.1682200668877.8&amp;__hssc=205977932.4.1682200668877&amp;__hsfp=3642558235" xr:uid="{7621FCBD-39EC-456D-9390-35CC3A633CED}"/>
    <hyperlink ref="A184" r:id="rId361" display="https://www.baseball-reference.com/boxes/TBA/TBA202204090.shtml?__hstc=205977932.44b38330ec7980febccadd4973af5225.1679199339564.1682188845733.1682200668877.8&amp;__hssc=205977932.4.1682200668877&amp;__hsfp=3642558235" xr:uid="{7362580E-00F2-4DEA-9562-3E9356D27F35}"/>
    <hyperlink ref="C184" r:id="rId362" display="https://www.baseball-reference.com/teams/BAL/2022.shtml?__hstc=205977932.44b38330ec7980febccadd4973af5225.1679199339564.1682188845733.1682200668877.8&amp;__hssc=205977932.4.1682200668877&amp;__hsfp=3642558235" xr:uid="{A2FCBADA-5725-45B5-8D12-2BA97C5EC249}"/>
    <hyperlink ref="A185" r:id="rId363" display="https://www.baseball-reference.com/boxes/TBA/TBA202204080.shtml?__hstc=205977932.44b38330ec7980febccadd4973af5225.1679199339564.1682188845733.1682200668877.8&amp;__hssc=205977932.4.1682200668877&amp;__hsfp=3642558235" xr:uid="{354AC8B2-E3C4-4D5F-80AA-38190683A161}"/>
    <hyperlink ref="C185" r:id="rId364" display="https://www.baseball-reference.com/teams/BAL/2022.shtml?__hstc=205977932.44b38330ec7980febccadd4973af5225.1679199339564.1682188845733.1682200668877.8&amp;__hssc=205977932.4.1682200668877&amp;__hsfp=3642558235" xr:uid="{F9F202AA-E671-4716-A923-37D51F548B1A}"/>
  </hyperlinks>
  <pageMargins left="0.7" right="0.7" top="0.75" bottom="0.75" header="0.3" footer="0.3"/>
  <drawing r:id="rId36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2F536-835C-476D-9EDD-981B4410C2FD}">
  <sheetPr codeName="Sheet5">
    <tabColor theme="0"/>
  </sheetPr>
  <dimension ref="B1:F39"/>
  <sheetViews>
    <sheetView workbookViewId="0">
      <selection activeCell="B2" sqref="B2"/>
    </sheetView>
  </sheetViews>
  <sheetFormatPr defaultRowHeight="15" x14ac:dyDescent="0.25"/>
  <cols>
    <col min="2" max="2" width="14.85546875" bestFit="1" customWidth="1"/>
    <col min="3" max="3" width="10.28515625" bestFit="1" customWidth="1"/>
    <col min="4" max="4" width="8.28515625" bestFit="1" customWidth="1"/>
    <col min="5" max="5" width="7" bestFit="1" customWidth="1"/>
    <col min="6" max="6" width="11" bestFit="1" customWidth="1"/>
    <col min="7" max="7" width="14.85546875" bestFit="1" customWidth="1"/>
    <col min="8" max="8" width="3" bestFit="1" customWidth="1"/>
    <col min="9" max="9" width="11.28515625" bestFit="1" customWidth="1"/>
    <col min="10" max="10" width="7" bestFit="1" customWidth="1"/>
    <col min="11" max="12" width="6.28515625" bestFit="1" customWidth="1"/>
    <col min="13" max="13" width="7.5703125" customWidth="1"/>
    <col min="14" max="14" width="13.140625" bestFit="1" customWidth="1"/>
    <col min="15" max="15" width="7.28515625" bestFit="1" customWidth="1"/>
    <col min="16" max="16" width="8.28515625" bestFit="1" customWidth="1"/>
    <col min="17" max="17" width="7" bestFit="1" customWidth="1"/>
    <col min="18" max="18" width="11" bestFit="1" customWidth="1"/>
    <col min="19" max="19" width="13.140625" bestFit="1" customWidth="1"/>
    <col min="20" max="20" width="9.85546875" bestFit="1" customWidth="1"/>
    <col min="21" max="21" width="10.42578125" bestFit="1" customWidth="1"/>
    <col min="22" max="22" width="14.7109375" bestFit="1" customWidth="1"/>
    <col min="23" max="182" width="16.28515625" bestFit="1" customWidth="1"/>
    <col min="183" max="183" width="11.28515625" bestFit="1" customWidth="1"/>
  </cols>
  <sheetData>
    <row r="1" spans="2:4" ht="15.75" thickBot="1" x14ac:dyDescent="0.3"/>
    <row r="2" spans="2:4" ht="16.5" thickTop="1" thickBot="1" x14ac:dyDescent="0.3">
      <c r="B2" s="52" t="s">
        <v>226</v>
      </c>
      <c r="C2" s="55"/>
    </row>
    <row r="3" spans="2:4" ht="15.75" thickTop="1" x14ac:dyDescent="0.25">
      <c r="B3" s="53" t="s">
        <v>222</v>
      </c>
      <c r="C3" s="50">
        <v>112</v>
      </c>
    </row>
    <row r="4" spans="2:4" ht="15.75" thickBot="1" x14ac:dyDescent="0.3">
      <c r="B4" s="54" t="s">
        <v>223</v>
      </c>
      <c r="C4" s="51">
        <v>45</v>
      </c>
    </row>
    <row r="5" spans="2:4" ht="15.75" thickTop="1" x14ac:dyDescent="0.25"/>
    <row r="14" spans="2:4" ht="15.75" thickBot="1" x14ac:dyDescent="0.3"/>
    <row r="15" spans="2:4" ht="16.5" thickTop="1" thickBot="1" x14ac:dyDescent="0.3">
      <c r="B15" s="55"/>
      <c r="C15" s="42" t="s">
        <v>228</v>
      </c>
      <c r="D15" s="55"/>
    </row>
    <row r="16" spans="2:4" ht="16.5" thickTop="1" thickBot="1" x14ac:dyDescent="0.3">
      <c r="B16" s="52" t="s">
        <v>227</v>
      </c>
      <c r="C16" t="s">
        <v>16</v>
      </c>
      <c r="D16" s="14" t="s">
        <v>17</v>
      </c>
    </row>
    <row r="17" spans="2:4" ht="15.75" thickTop="1" x14ac:dyDescent="0.25">
      <c r="B17" s="53" t="s">
        <v>211</v>
      </c>
      <c r="C17" s="60">
        <v>0.24224000000000001</v>
      </c>
      <c r="D17" s="61">
        <v>0.24654377880184331</v>
      </c>
    </row>
    <row r="18" spans="2:4" x14ac:dyDescent="0.25">
      <c r="B18" s="64" t="s">
        <v>212</v>
      </c>
      <c r="C18" s="62">
        <v>0.3116279069767442</v>
      </c>
      <c r="D18" s="48">
        <v>0.32016632016632018</v>
      </c>
    </row>
    <row r="19" spans="2:4" x14ac:dyDescent="0.25">
      <c r="B19" s="64" t="s">
        <v>213</v>
      </c>
      <c r="C19" s="62">
        <v>0.38303999999999999</v>
      </c>
      <c r="D19" s="48">
        <v>0.4098090849242923</v>
      </c>
    </row>
    <row r="20" spans="2:4" ht="15.75" thickBot="1" x14ac:dyDescent="0.3">
      <c r="B20" s="54" t="s">
        <v>214</v>
      </c>
      <c r="C20" s="63">
        <v>0.69466790697674419</v>
      </c>
      <c r="D20" s="49">
        <v>0.72997540509061243</v>
      </c>
    </row>
    <row r="21" spans="2:4" ht="15.75" thickTop="1" x14ac:dyDescent="0.25"/>
    <row r="34" spans="2:6" ht="15.75" thickBot="1" x14ac:dyDescent="0.3"/>
    <row r="35" spans="2:6" ht="16.5" thickTop="1" thickBot="1" x14ac:dyDescent="0.3">
      <c r="B35" s="41" t="s">
        <v>225</v>
      </c>
      <c r="C35" s="57" t="s">
        <v>216</v>
      </c>
      <c r="D35" s="58" t="s">
        <v>217</v>
      </c>
      <c r="E35" s="58" t="s">
        <v>218</v>
      </c>
      <c r="F35" s="59" t="s">
        <v>219</v>
      </c>
    </row>
    <row r="36" spans="2:6" ht="15.75" thickTop="1" x14ac:dyDescent="0.25">
      <c r="B36" s="46" t="s">
        <v>16</v>
      </c>
      <c r="C36" s="72">
        <v>501</v>
      </c>
      <c r="D36" s="43">
        <v>159</v>
      </c>
      <c r="E36" s="43">
        <v>10</v>
      </c>
      <c r="F36" s="44">
        <v>87</v>
      </c>
    </row>
    <row r="37" spans="2:6" ht="15.75" thickBot="1" x14ac:dyDescent="0.3">
      <c r="B37" s="46" t="s">
        <v>17</v>
      </c>
      <c r="C37" s="13">
        <v>462</v>
      </c>
      <c r="D37">
        <v>178</v>
      </c>
      <c r="E37">
        <v>9</v>
      </c>
      <c r="F37" s="14">
        <v>100</v>
      </c>
    </row>
    <row r="38" spans="2:6" ht="16.5" thickTop="1" thickBot="1" x14ac:dyDescent="0.3">
      <c r="B38" s="56" t="s">
        <v>204</v>
      </c>
      <c r="C38" s="70">
        <v>963</v>
      </c>
      <c r="D38" s="71">
        <v>337</v>
      </c>
      <c r="E38" s="71">
        <v>19</v>
      </c>
      <c r="F38" s="69">
        <v>187</v>
      </c>
    </row>
    <row r="39" spans="2:6" ht="15.75" thickTop="1" x14ac:dyDescent="0.25"/>
  </sheetData>
  <pageMargins left="0.7" right="0.7" top="0.75" bottom="0.75" header="0.3" footer="0.3"/>
  <drawing r:id="rId4"/>
  <extLs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0EA5-0AA6-4C4D-95CF-6BFA8854FCA7}">
  <sheetPr codeName="Sheet6">
    <tabColor theme="1"/>
  </sheetPr>
  <dimension ref="B1:E30"/>
  <sheetViews>
    <sheetView showGridLines="0" topLeftCell="A3" workbookViewId="0">
      <selection activeCell="K21" sqref="K21"/>
    </sheetView>
  </sheetViews>
  <sheetFormatPr defaultRowHeight="15" x14ac:dyDescent="0.25"/>
  <cols>
    <col min="2" max="2" width="13.7109375" customWidth="1"/>
    <col min="3" max="3" width="7.28515625" bestFit="1" customWidth="1"/>
    <col min="4" max="4" width="6.85546875" bestFit="1" customWidth="1"/>
    <col min="5" max="5" width="11.28515625" bestFit="1" customWidth="1"/>
    <col min="6" max="6" width="14.85546875" bestFit="1" customWidth="1"/>
    <col min="7" max="7" width="15" bestFit="1" customWidth="1"/>
    <col min="8" max="10" width="16.28515625" bestFit="1" customWidth="1"/>
    <col min="11" max="11" width="11.28515625" bestFit="1" customWidth="1"/>
    <col min="12" max="12" width="16.28515625" bestFit="1" customWidth="1"/>
    <col min="13" max="13" width="6.85546875" bestFit="1" customWidth="1"/>
    <col min="14" max="14" width="11.28515625" bestFit="1" customWidth="1"/>
    <col min="15" max="19" width="16.28515625" bestFit="1" customWidth="1"/>
    <col min="20" max="20" width="11.28515625" bestFit="1" customWidth="1"/>
  </cols>
  <sheetData>
    <row r="1" spans="2:4" ht="15.75" thickBot="1" x14ac:dyDescent="0.3"/>
    <row r="2" spans="2:4" ht="16.5" thickTop="1" thickBot="1" x14ac:dyDescent="0.3">
      <c r="B2" s="50"/>
      <c r="C2" s="52" t="s">
        <v>1</v>
      </c>
      <c r="D2" s="55"/>
    </row>
    <row r="3" spans="2:4" ht="16.5" thickTop="1" thickBot="1" x14ac:dyDescent="0.3">
      <c r="B3" s="65"/>
      <c r="C3" s="57" t="s">
        <v>220</v>
      </c>
      <c r="D3" s="59" t="s">
        <v>221</v>
      </c>
    </row>
    <row r="4" spans="2:4" ht="16.5" thickTop="1" thickBot="1" x14ac:dyDescent="0.3">
      <c r="B4" s="51"/>
      <c r="D4" s="14"/>
    </row>
    <row r="5" spans="2:4" ht="16.5" thickTop="1" thickBot="1" x14ac:dyDescent="0.3">
      <c r="B5" s="52" t="s">
        <v>227</v>
      </c>
      <c r="D5" s="14"/>
    </row>
    <row r="6" spans="2:4" ht="15.75" thickTop="1" x14ac:dyDescent="0.25">
      <c r="B6" s="53" t="s">
        <v>211</v>
      </c>
      <c r="C6" s="60">
        <v>0.2404692082111437</v>
      </c>
      <c r="D6" s="61">
        <v>0.2853185595567867</v>
      </c>
    </row>
    <row r="7" spans="2:4" x14ac:dyDescent="0.25">
      <c r="B7" s="64" t="s">
        <v>212</v>
      </c>
      <c r="C7" s="62">
        <v>0.31931668856767409</v>
      </c>
      <c r="D7" s="48">
        <v>0.35980148883374691</v>
      </c>
    </row>
    <row r="8" spans="2:4" x14ac:dyDescent="0.25">
      <c r="B8" s="64" t="s">
        <v>213</v>
      </c>
      <c r="C8" s="62">
        <v>0.38416422287390029</v>
      </c>
      <c r="D8" s="48">
        <v>0.53878116343490301</v>
      </c>
    </row>
    <row r="9" spans="2:4" ht="15.75" thickBot="1" x14ac:dyDescent="0.3">
      <c r="B9" s="54" t="s">
        <v>214</v>
      </c>
      <c r="C9" s="63">
        <v>0.70348091144157432</v>
      </c>
      <c r="D9" s="49">
        <v>0.89858265226864997</v>
      </c>
    </row>
    <row r="10" spans="2:4" ht="15.75" thickTop="1" x14ac:dyDescent="0.25"/>
    <row r="18" spans="2:5" ht="15.75" thickBot="1" x14ac:dyDescent="0.3"/>
    <row r="19" spans="2:5" ht="15.75" thickTop="1" x14ac:dyDescent="0.25">
      <c r="B19" s="41" t="s">
        <v>215</v>
      </c>
      <c r="C19" s="42" t="s">
        <v>65</v>
      </c>
      <c r="D19" s="43"/>
      <c r="E19" s="44"/>
    </row>
    <row r="20" spans="2:5" x14ac:dyDescent="0.25">
      <c r="B20" s="13"/>
      <c r="C20" t="s">
        <v>220</v>
      </c>
      <c r="D20" t="s">
        <v>221</v>
      </c>
      <c r="E20" s="14" t="s">
        <v>204</v>
      </c>
    </row>
    <row r="21" spans="2:5" x14ac:dyDescent="0.25">
      <c r="B21" s="13"/>
      <c r="E21" s="14"/>
    </row>
    <row r="22" spans="2:5" x14ac:dyDescent="0.25">
      <c r="B22" s="45" t="s">
        <v>219</v>
      </c>
      <c r="E22" s="14"/>
    </row>
    <row r="23" spans="2:5" x14ac:dyDescent="0.25">
      <c r="B23" s="46">
        <v>0</v>
      </c>
      <c r="C23">
        <v>71</v>
      </c>
      <c r="E23" s="14">
        <v>71</v>
      </c>
    </row>
    <row r="24" spans="2:5" x14ac:dyDescent="0.25">
      <c r="B24" s="46">
        <v>1</v>
      </c>
      <c r="C24">
        <v>57</v>
      </c>
      <c r="D24">
        <v>9</v>
      </c>
      <c r="E24" s="14">
        <v>66</v>
      </c>
    </row>
    <row r="25" spans="2:5" x14ac:dyDescent="0.25">
      <c r="B25" s="46">
        <v>2</v>
      </c>
      <c r="C25">
        <v>21</v>
      </c>
      <c r="D25">
        <v>5</v>
      </c>
      <c r="E25" s="14">
        <v>26</v>
      </c>
    </row>
    <row r="26" spans="2:5" x14ac:dyDescent="0.25">
      <c r="B26" s="46">
        <v>3</v>
      </c>
      <c r="C26">
        <v>12</v>
      </c>
      <c r="D26">
        <v>4</v>
      </c>
      <c r="E26" s="14">
        <v>16</v>
      </c>
    </row>
    <row r="27" spans="2:5" x14ac:dyDescent="0.25">
      <c r="B27" s="46">
        <v>4</v>
      </c>
      <c r="C27">
        <v>1</v>
      </c>
      <c r="D27">
        <v>3</v>
      </c>
      <c r="E27" s="14">
        <v>4</v>
      </c>
    </row>
    <row r="28" spans="2:5" x14ac:dyDescent="0.25">
      <c r="B28" s="46">
        <v>5</v>
      </c>
      <c r="D28">
        <v>1</v>
      </c>
      <c r="E28" s="14">
        <v>1</v>
      </c>
    </row>
    <row r="29" spans="2:5" ht="15.75" thickBot="1" x14ac:dyDescent="0.3">
      <c r="B29" s="47" t="s">
        <v>204</v>
      </c>
      <c r="C29" s="71">
        <v>162</v>
      </c>
      <c r="D29" s="71">
        <v>22</v>
      </c>
      <c r="E29" s="69">
        <v>184</v>
      </c>
    </row>
    <row r="30" spans="2:5" ht="15.75" thickTop="1" x14ac:dyDescent="0.25"/>
  </sheetData>
  <pageMargins left="0.7" right="0.7" top="0.75" bottom="0.75" header="0.3" footer="0.3"/>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Documentation</vt:lpstr>
      <vt:lpstr>Game Input</vt:lpstr>
      <vt:lpstr>Input Back End</vt:lpstr>
      <vt:lpstr>Game Logs</vt:lpstr>
      <vt:lpstr>Combined Analysis</vt:lpstr>
      <vt:lpstr>Comparative Analysis</vt:lpstr>
      <vt:lpstr>RaysData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Koby Manning</dc:creator>
  <cp:lastModifiedBy>Koby Manning</cp:lastModifiedBy>
  <dcterms:created xsi:type="dcterms:W3CDTF">2023-04-22T17:19:22Z</dcterms:created>
  <dcterms:modified xsi:type="dcterms:W3CDTF">2024-05-08T03:10:15Z</dcterms:modified>
</cp:coreProperties>
</file>